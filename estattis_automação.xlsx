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510" tabRatio="874" firstSheet="5" activeTab="8" autoFilterDateGrouping="1"/>
  </bookViews>
  <sheets>
    <sheet xmlns:r="http://schemas.openxmlformats.org/officeDocument/2006/relationships" name="CAPA DO LAUDO" sheetId="1" state="visible" r:id="rId1"/>
    <sheet xmlns:r="http://schemas.openxmlformats.org/officeDocument/2006/relationships" name="FATORES" sheetId="2" state="visible" r:id="rId2"/>
    <sheet xmlns:r="http://schemas.openxmlformats.org/officeDocument/2006/relationships" name="AREA UTIL " sheetId="3" state="visible" r:id="rId3"/>
    <sheet xmlns:r="http://schemas.openxmlformats.org/officeDocument/2006/relationships" name="AMOSTRAS" sheetId="4" state="visible" r:id="rId4"/>
    <sheet xmlns:r="http://schemas.openxmlformats.org/officeDocument/2006/relationships" name="QUADRO" sheetId="5" state="visible" r:id="rId5"/>
    <sheet xmlns:r="http://schemas.openxmlformats.org/officeDocument/2006/relationships" name="PLANILHA HOMOG" sheetId="6" state="visible" r:id="rId6"/>
    <sheet xmlns:r="http://schemas.openxmlformats.org/officeDocument/2006/relationships" name="SANEAMENTO" sheetId="7" state="visible" r:id="rId7"/>
    <sheet xmlns:r="http://schemas.openxmlformats.org/officeDocument/2006/relationships" name="LIQUIDAÇÃO" sheetId="8" state="visible" r:id="rId8"/>
    <sheet xmlns:r="http://schemas.openxmlformats.org/officeDocument/2006/relationships" name="LAUDO DE AVALIAÇÃO" sheetId="9" state="visible" r:id="rId9"/>
    <sheet xmlns:r="http://schemas.openxmlformats.org/officeDocument/2006/relationships" name="LAUDO DE AVALIAÇÃO 12-12.4" sheetId="10" state="hidden" r:id="rId10"/>
    <sheet xmlns:r="http://schemas.openxmlformats.org/officeDocument/2006/relationships" name="LAUDO DE AVALIAÇÃO 13" sheetId="11" state="hidden" r:id="rId11"/>
    <sheet xmlns:r="http://schemas.openxmlformats.org/officeDocument/2006/relationships" name="quadro_resumo" sheetId="12" state="visible" r:id="rId12"/>
  </sheets>
  <definedNames>
    <definedName name="_xlnm.Print_Area" localSheetId="9">'LAUDO DE AVALIAÇÃO 12-12.4'!$B$1:$H$24</definedName>
    <definedName name="_xlnm.Print_Area" localSheetId="10">'LAUDO DE AVALIAÇÃO 13'!$B$1:$G$8</definedName>
  </definedNames>
  <calcPr calcId="162913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&quot;R$&quot;\ #,##0.0000"/>
    <numFmt numFmtId="166" formatCode="#,##0.0000"/>
    <numFmt numFmtId="167" formatCode="0.0000"/>
    <numFmt numFmtId="168" formatCode="&quot;R$&quot;\ #,##0.00"/>
    <numFmt numFmtId="169" formatCode="&quot;R$&quot;\ #,##0.00;[Red]\-&quot;R$&quot;\ #,##0.00"/>
    <numFmt numFmtId="170" formatCode="_(&quot;R$ &quot;* #,##0.00_);_(&quot;R$ &quot;* \(#,##0.00\);_(&quot;R$ &quot;* &quot;-&quot;??_);_(@_)"/>
    <numFmt numFmtId="171" formatCode="_-* #,##0.00_-;\-* #,##0.00_-;_-* &quot;-&quot;??_-;_-@_-"/>
    <numFmt numFmtId="172" formatCode="_(* #,##0.000_);_(* \(#,##0.000\);_(* &quot;-&quot;??_);_(@_)"/>
    <numFmt numFmtId="173" formatCode="_(* #,##0.000_);_(* \(#,##0.000\);_(* &quot;-&quot;???_);_(@_)"/>
    <numFmt numFmtId="174" formatCode="0.000"/>
    <numFmt numFmtId="175" formatCode="0.000%"/>
  </numFmts>
  <fonts count="58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sz val="8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4"/>
    </font>
    <font>
      <name val="Arial"/>
      <family val="2"/>
      <sz val="8"/>
    </font>
    <font>
      <name val="Lydian BT"/>
      <family val="4"/>
      <i val="1"/>
      <sz val="8"/>
    </font>
    <font>
      <name val="Lydian BT"/>
      <family val="4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color indexed="10"/>
      <sz val="14"/>
    </font>
    <font>
      <name val="Times New Roman"/>
      <family val="1"/>
      <sz val="10"/>
    </font>
    <font>
      <name val="Arial"/>
      <family val="2"/>
      <b val="1"/>
      <sz val="10"/>
    </font>
    <font>
      <name val="Times New Roman"/>
      <family val="1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b val="1"/>
      <color theme="1"/>
      <sz val="11"/>
      <scheme val="minor"/>
    </font>
    <font>
      <name val="Century Gothic"/>
      <family val="2"/>
      <b val="1"/>
      <color theme="1"/>
      <sz val="16"/>
    </font>
    <font>
      <name val="Century Gothic"/>
      <family val="2"/>
      <color theme="1"/>
      <sz val="16"/>
    </font>
    <font>
      <name val="Century Gothic"/>
      <family val="2"/>
      <color theme="1"/>
      <sz val="12"/>
    </font>
    <font>
      <name val="Century Gothic"/>
      <family val="2"/>
      <b val="1"/>
      <color theme="1"/>
      <sz val="12"/>
    </font>
    <font>
      <name val="Calibri"/>
      <family val="2"/>
      <b val="1"/>
      <color rgb="FF000000"/>
      <sz val="11"/>
      <scheme val="minor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</font>
    <font>
      <name val="Arial"/>
      <family val="2"/>
      <color rgb="FF000000"/>
      <sz val="10"/>
    </font>
    <font>
      <name val="Calibri"/>
      <family val="2"/>
      <b val="1"/>
      <color rgb="FF000000"/>
      <sz val="11"/>
    </font>
    <font>
      <name val="Century Gothic"/>
      <family val="2"/>
      <b val="1"/>
      <color rgb="FF000000"/>
      <sz val="12"/>
    </font>
    <font>
      <name val="Calibri"/>
      <family val="2"/>
      <b val="1"/>
      <sz val="11"/>
    </font>
    <font>
      <name val="Arial"/>
      <family val="2"/>
      <color theme="10"/>
      <sz val="10"/>
      <u val="single"/>
    </font>
    <font>
      <name val="Calibri"/>
      <family val="2"/>
      <color theme="0"/>
      <sz val="10"/>
      <scheme val="minor"/>
    </font>
    <font>
      <name val="Arial"/>
      <family val="2"/>
      <color theme="0"/>
      <sz val="10"/>
    </font>
    <font>
      <name val="Calibri"/>
      <family val="2"/>
      <sz val="11"/>
      <scheme val="minor"/>
    </font>
    <font>
      <name val="Arial"/>
      <family val="2"/>
      <color theme="10"/>
      <sz val="10"/>
      <u val="single"/>
    </font>
    <font>
      <name val="Century Gothic"/>
      <family val="2"/>
      <color rgb="FF000000"/>
      <sz val="12"/>
    </font>
    <font>
      <name val="Century Gothic"/>
      <b val="1"/>
      <sz val="12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170" fontId="27" fillId="0" borderId="0"/>
    <xf numFmtId="43" fontId="27" fillId="0" borderId="0"/>
    <xf numFmtId="9" fontId="27" fillId="0" borderId="0"/>
    <xf numFmtId="0" fontId="55" fillId="0" borderId="0"/>
    <xf numFmtId="0" fontId="55" fillId="0" borderId="0"/>
  </cellStyleXfs>
  <cellXfs count="457">
    <xf numFmtId="0" fontId="0" fillId="0" borderId="0" pivotButton="0" quotePrefix="0" xfId="0"/>
    <xf numFmtId="0" fontId="20" fillId="3" borderId="0" pivotButton="0" quotePrefix="0" xfId="0"/>
    <xf numFmtId="0" fontId="20" fillId="3" borderId="1" pivotButton="0" quotePrefix="0" xfId="0"/>
    <xf numFmtId="0" fontId="20" fillId="3" borderId="2" pivotButton="0" quotePrefix="0" xfId="0"/>
    <xf numFmtId="0" fontId="20" fillId="3" borderId="0" applyAlignment="1" pivotButton="0" quotePrefix="0" xfId="0">
      <alignment horizontal="center"/>
    </xf>
    <xf numFmtId="0" fontId="17" fillId="3" borderId="1" pivotButton="0" quotePrefix="0" xfId="0"/>
    <xf numFmtId="0" fontId="13" fillId="3" borderId="0" applyAlignment="1" pivotButton="0" quotePrefix="0" xfId="0">
      <alignment horizontal="center"/>
    </xf>
    <xf numFmtId="0" fontId="13" fillId="3" borderId="0" applyAlignment="1" pivotButton="0" quotePrefix="0" xfId="0">
      <alignment horizontal="left"/>
    </xf>
    <xf numFmtId="0" fontId="19" fillId="3" borderId="2" pivotButton="0" quotePrefix="0" xfId="0"/>
    <xf numFmtId="0" fontId="14" fillId="3" borderId="0" pivotButton="0" quotePrefix="0" xfId="0"/>
    <xf numFmtId="0" fontId="20" fillId="3" borderId="3" applyAlignment="1" applyProtection="1" pivotButton="0" quotePrefix="0" xfId="0">
      <alignment horizontal="center"/>
      <protection locked="0" hidden="0"/>
    </xf>
    <xf numFmtId="4" fontId="20" fillId="3" borderId="3" applyProtection="1" pivotButton="0" quotePrefix="0" xfId="0">
      <protection locked="0" hidden="0"/>
    </xf>
    <xf numFmtId="0" fontId="20" fillId="3" borderId="4" applyAlignment="1" applyProtection="1" pivotButton="0" quotePrefix="0" xfId="0">
      <alignment horizontal="left"/>
      <protection locked="0" hidden="0"/>
    </xf>
    <xf numFmtId="4" fontId="20" fillId="3" borderId="5" applyProtection="1" pivotButton="0" quotePrefix="0" xfId="0">
      <protection locked="0" hidden="0"/>
    </xf>
    <xf numFmtId="0" fontId="20" fillId="3" borderId="5" applyAlignment="1" applyProtection="1" pivotButton="0" quotePrefix="0" xfId="0">
      <alignment horizontal="center"/>
      <protection locked="0" hidden="0"/>
    </xf>
    <xf numFmtId="0" fontId="19" fillId="3" borderId="1" pivotButton="0" quotePrefix="0" xfId="0"/>
    <xf numFmtId="0" fontId="20" fillId="3" borderId="6" applyAlignment="1" applyProtection="1" pivotButton="0" quotePrefix="0" xfId="0">
      <alignment horizontal="left"/>
      <protection locked="0" hidden="0"/>
    </xf>
    <xf numFmtId="0" fontId="20" fillId="3" borderId="7" applyProtection="1" pivotButton="0" quotePrefix="0" xfId="0">
      <protection locked="0" hidden="0"/>
    </xf>
    <xf numFmtId="4" fontId="20" fillId="3" borderId="7" applyProtection="1" pivotButton="0" quotePrefix="0" xfId="0">
      <protection locked="0" hidden="0"/>
    </xf>
    <xf numFmtId="0" fontId="20" fillId="3" borderId="9" applyAlignment="1" applyProtection="1" pivotButton="0" quotePrefix="0" xfId="0">
      <alignment horizontal="left"/>
      <protection locked="0" hidden="0"/>
    </xf>
    <xf numFmtId="4" fontId="20" fillId="3" borderId="10" applyAlignment="1" applyProtection="1" pivotButton="0" quotePrefix="0" xfId="0">
      <alignment horizontal="center"/>
      <protection locked="0" hidden="0"/>
    </xf>
    <xf numFmtId="0" fontId="20" fillId="3" borderId="10" applyProtection="1" pivotButton="0" quotePrefix="0" xfId="0">
      <protection locked="0" hidden="0"/>
    </xf>
    <xf numFmtId="4" fontId="20" fillId="3" borderId="10" applyProtection="1" pivotButton="0" quotePrefix="0" xfId="0">
      <protection locked="0" hidden="0"/>
    </xf>
    <xf numFmtId="0" fontId="23" fillId="0" borderId="0" applyAlignment="1" pivotButton="0" quotePrefix="0" xfId="0">
      <alignment horizontal="center"/>
    </xf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12" fillId="0" borderId="8" applyAlignment="1" pivotButton="0" quotePrefix="0" xfId="0">
      <alignment horizontal="center"/>
    </xf>
    <xf numFmtId="0" fontId="12" fillId="0" borderId="11" applyAlignment="1" pivotButton="0" quotePrefix="0" xfId="0">
      <alignment horizontal="center"/>
    </xf>
    <xf numFmtId="0" fontId="12" fillId="0" borderId="0" applyProtection="1" pivotButton="0" quotePrefix="0" xfId="0">
      <protection locked="0" hidden="0"/>
    </xf>
    <xf numFmtId="0" fontId="12" fillId="0" borderId="12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1" fillId="3" borderId="0" pivotButton="0" quotePrefix="0" xfId="0"/>
    <xf numFmtId="0" fontId="16" fillId="3" borderId="0" pivotButton="0" quotePrefix="0" xfId="0"/>
    <xf numFmtId="0" fontId="21" fillId="3" borderId="0" applyAlignment="1" pivotButton="0" quotePrefix="0" xfId="0">
      <alignment vertical="top" wrapText="1"/>
    </xf>
    <xf numFmtId="0" fontId="18" fillId="3" borderId="16" applyAlignment="1" applyProtection="1" pivotButton="0" quotePrefix="0" xfId="0">
      <alignment horizontal="left"/>
      <protection locked="0" hidden="0"/>
    </xf>
    <xf numFmtId="1" fontId="18" fillId="3" borderId="3" applyAlignment="1" applyProtection="1" pivotButton="0" quotePrefix="0" xfId="0">
      <alignment horizontal="center"/>
      <protection locked="0" hidden="0"/>
    </xf>
    <xf numFmtId="0" fontId="18" fillId="3" borderId="3" applyAlignment="1" applyProtection="1" pivotButton="0" quotePrefix="0" xfId="0">
      <alignment horizontal="center"/>
      <protection locked="0" hidden="0"/>
    </xf>
    <xf numFmtId="0" fontId="25" fillId="3" borderId="0" pivotButton="0" quotePrefix="0" xfId="0"/>
    <xf numFmtId="0" fontId="20" fillId="3" borderId="24" pivotButton="0" quotePrefix="0" xfId="0"/>
    <xf numFmtId="0" fontId="20" fillId="3" borderId="27" applyAlignment="1" pivotButton="0" quotePrefix="0" xfId="0">
      <alignment horizontal="center"/>
    </xf>
    <xf numFmtId="0" fontId="16" fillId="3" borderId="21" pivotButton="0" quotePrefix="0" xfId="0"/>
    <xf numFmtId="0" fontId="20" fillId="3" borderId="27" pivotButton="0" quotePrefix="0" xfId="0"/>
    <xf numFmtId="0" fontId="19" fillId="3" borderId="21" pivotButton="0" quotePrefix="0" xfId="0"/>
    <xf numFmtId="0" fontId="20" fillId="3" borderId="22" pivotButton="0" quotePrefix="0" xfId="0"/>
    <xf numFmtId="0" fontId="22" fillId="3" borderId="26" applyAlignment="1" pivotButton="0" quotePrefix="0" xfId="0">
      <alignment horizontal="center" vertical="center"/>
    </xf>
    <xf numFmtId="0" fontId="18" fillId="3" borderId="29" applyAlignment="1" applyProtection="1" pivotButton="0" quotePrefix="0" xfId="0">
      <alignment horizontal="left"/>
      <protection locked="0" hidden="0"/>
    </xf>
    <xf numFmtId="0" fontId="19" fillId="3" borderId="23" pivotButton="0" quotePrefix="0" xfId="0"/>
    <xf numFmtId="0" fontId="16" fillId="3" borderId="27" pivotButton="0" quotePrefix="0" xfId="0"/>
    <xf numFmtId="0" fontId="20" fillId="3" borderId="31" applyAlignment="1" applyProtection="1" pivotButton="0" quotePrefix="0" xfId="0">
      <alignment horizontal="left"/>
      <protection locked="0" hidden="0"/>
    </xf>
    <xf numFmtId="0" fontId="20" fillId="3" borderId="32" applyAlignment="1" applyProtection="1" pivotButton="0" quotePrefix="0" xfId="0">
      <alignment horizontal="left"/>
      <protection locked="0" hidden="0"/>
    </xf>
    <xf numFmtId="0" fontId="28" fillId="3" borderId="0" applyAlignment="1" pivotButton="0" quotePrefix="0" xfId="0">
      <alignment vertical="top" wrapText="1"/>
    </xf>
    <xf numFmtId="0" fontId="30" fillId="3" borderId="0" pivotButton="0" quotePrefix="0" xfId="0"/>
    <xf numFmtId="0" fontId="31" fillId="3" borderId="0" applyAlignment="1" pivotButton="0" quotePrefix="0" xfId="0">
      <alignment horizontal="center"/>
    </xf>
    <xf numFmtId="0" fontId="31" fillId="3" borderId="0" applyAlignment="1" pivotButton="0" quotePrefix="0" xfId="0">
      <alignment horizontal="left"/>
    </xf>
    <xf numFmtId="0" fontId="27" fillId="3" borderId="2" applyAlignment="1" pivotButton="0" quotePrefix="0" xfId="0">
      <alignment vertical="center"/>
    </xf>
    <xf numFmtId="39" fontId="27" fillId="3" borderId="0" applyProtection="1" pivotButton="0" quotePrefix="0" xfId="2">
      <protection locked="0" hidden="0"/>
    </xf>
    <xf numFmtId="4" fontId="27" fillId="3" borderId="0" pivotButton="0" quotePrefix="0" xfId="0"/>
    <xf numFmtId="39" fontId="27" fillId="3" borderId="0" applyProtection="1" pivotButton="0" quotePrefix="0" xfId="1">
      <protection locked="0" hidden="0"/>
    </xf>
    <xf numFmtId="4" fontId="27" fillId="3" borderId="0" applyProtection="1" pivotButton="0" quotePrefix="0" xfId="0">
      <protection locked="0" hidden="0"/>
    </xf>
    <xf numFmtId="0" fontId="30" fillId="3" borderId="0" applyAlignment="1" pivotButton="0" quotePrefix="0" xfId="0">
      <alignment horizontal="center"/>
    </xf>
    <xf numFmtId="0" fontId="27" fillId="3" borderId="0" applyAlignment="1" pivotButton="0" quotePrefix="0" xfId="0">
      <alignment horizontal="left"/>
    </xf>
    <xf numFmtId="0" fontId="33" fillId="4" borderId="0" pivotButton="0" quotePrefix="0" xfId="0"/>
    <xf numFmtId="4" fontId="33" fillId="3" borderId="0" pivotButton="0" quotePrefix="0" xfId="0"/>
    <xf numFmtId="0" fontId="27" fillId="3" borderId="0" applyAlignment="1" pivotButton="0" quotePrefix="0" xfId="0">
      <alignment vertical="center"/>
    </xf>
    <xf numFmtId="0" fontId="27" fillId="3" borderId="0" applyProtection="1" pivotButton="0" quotePrefix="0" xfId="0">
      <protection locked="0" hidden="0"/>
    </xf>
    <xf numFmtId="0" fontId="30" fillId="3" borderId="0" applyAlignment="1" pivotButton="0" quotePrefix="0" xfId="0">
      <alignment vertical="center"/>
    </xf>
    <xf numFmtId="0" fontId="32" fillId="3" borderId="0" applyAlignment="1" pivotButton="0" quotePrefix="0" xfId="0">
      <alignment horizontal="center"/>
    </xf>
    <xf numFmtId="49" fontId="27" fillId="3" borderId="0" pivotButton="0" quotePrefix="0" xfId="0"/>
    <xf numFmtId="0" fontId="26" fillId="3" borderId="0" pivotButton="0" quotePrefix="0" xfId="0"/>
    <xf numFmtId="39" fontId="25" fillId="3" borderId="0" applyProtection="1" pivotButton="0" quotePrefix="0" xfId="2">
      <protection locked="0" hidden="0"/>
    </xf>
    <xf numFmtId="4" fontId="25" fillId="3" borderId="0" pivotButton="0" quotePrefix="0" xfId="0"/>
    <xf numFmtId="39" fontId="25" fillId="3" borderId="0" applyProtection="1" pivotButton="0" quotePrefix="0" xfId="1">
      <protection locked="0" hidden="0"/>
    </xf>
    <xf numFmtId="4" fontId="25" fillId="3" borderId="0" applyProtection="1" pivotButton="0" quotePrefix="0" xfId="0">
      <protection locked="0" hidden="0"/>
    </xf>
    <xf numFmtId="0" fontId="18" fillId="3" borderId="38" applyAlignment="1" applyProtection="1" pivotButton="0" quotePrefix="0" xfId="0">
      <alignment horizontal="left"/>
      <protection locked="0" hidden="0"/>
    </xf>
    <xf numFmtId="0" fontId="18" fillId="3" borderId="5" applyAlignment="1" applyProtection="1" pivotButton="0" quotePrefix="0" xfId="0">
      <alignment horizontal="center"/>
      <protection locked="0" hidden="0"/>
    </xf>
    <xf numFmtId="0" fontId="37" fillId="3" borderId="19" pivotButton="0" quotePrefix="0" xfId="0"/>
    <xf numFmtId="0" fontId="37" fillId="3" borderId="18" pivotButton="0" quotePrefix="0" xfId="0"/>
    <xf numFmtId="0" fontId="37" fillId="3" borderId="17" pivotButton="0" quotePrefix="0" xfId="0"/>
    <xf numFmtId="0" fontId="37" fillId="3" borderId="12" pivotButton="0" quotePrefix="0" xfId="0"/>
    <xf numFmtId="0" fontId="37" fillId="3" borderId="1" pivotButton="0" quotePrefix="0" xfId="0"/>
    <xf numFmtId="0" fontId="37" fillId="3" borderId="15" pivotButton="0" quotePrefix="0" xfId="0"/>
    <xf numFmtId="0" fontId="36" fillId="3" borderId="0" applyAlignment="1" pivotButton="0" quotePrefix="0" xfId="0">
      <alignment vertical="center"/>
    </xf>
    <xf numFmtId="0" fontId="37" fillId="3" borderId="19" applyAlignment="1" pivotButton="0" quotePrefix="0" xfId="0">
      <alignment vertical="center"/>
    </xf>
    <xf numFmtId="0" fontId="37" fillId="3" borderId="18" applyAlignment="1" pivotButton="0" quotePrefix="0" xfId="0">
      <alignment vertical="center"/>
    </xf>
    <xf numFmtId="0" fontId="37" fillId="3" borderId="17" applyAlignment="1" pivotButton="0" quotePrefix="0" xfId="0">
      <alignment vertical="center"/>
    </xf>
    <xf numFmtId="0" fontId="37" fillId="3" borderId="20" applyAlignment="1" pivotButton="0" quotePrefix="0" xfId="0">
      <alignment vertical="center"/>
    </xf>
    <xf numFmtId="0" fontId="37" fillId="3" borderId="0" applyAlignment="1" pivotButton="0" quotePrefix="0" xfId="0">
      <alignment vertical="center"/>
    </xf>
    <xf numFmtId="0" fontId="37" fillId="3" borderId="9" applyAlignment="1" pivotButton="0" quotePrefix="0" xfId="0">
      <alignment vertical="center"/>
    </xf>
    <xf numFmtId="0" fontId="37" fillId="3" borderId="12" applyAlignment="1" pivotButton="0" quotePrefix="0" xfId="0">
      <alignment vertical="center"/>
    </xf>
    <xf numFmtId="0" fontId="37" fillId="3" borderId="1" applyAlignment="1" pivotButton="0" quotePrefix="0" xfId="0">
      <alignment vertical="center"/>
    </xf>
    <xf numFmtId="0" fontId="37" fillId="3" borderId="15" applyAlignment="1" pivotButton="0" quotePrefix="0" xfId="0">
      <alignment vertical="center"/>
    </xf>
    <xf numFmtId="0" fontId="36" fillId="3" borderId="0" pivotButton="0" quotePrefix="0" xfId="0"/>
    <xf numFmtId="0" fontId="41" fillId="5" borderId="43" applyAlignment="1" pivotButton="0" quotePrefix="0" xfId="0">
      <alignment horizontal="center" vertical="center" wrapText="1"/>
    </xf>
    <xf numFmtId="0" fontId="41" fillId="5" borderId="44" applyAlignment="1" pivotButton="0" quotePrefix="0" xfId="0">
      <alignment horizontal="center" vertical="center" wrapText="1"/>
    </xf>
    <xf numFmtId="0" fontId="40" fillId="5" borderId="44" applyAlignment="1" pivotButton="0" quotePrefix="0" xfId="0">
      <alignment horizontal="center" vertical="center" wrapText="1"/>
    </xf>
    <xf numFmtId="0" fontId="41" fillId="5" borderId="45" applyAlignment="1" pivotButton="0" quotePrefix="0" xfId="0">
      <alignment horizontal="center" vertical="center" wrapText="1"/>
    </xf>
    <xf numFmtId="0" fontId="41" fillId="0" borderId="34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4" fontId="41" fillId="0" borderId="8" applyAlignment="1" pivotButton="0" quotePrefix="0" xfId="0">
      <alignment horizontal="center" vertical="center" wrapText="1"/>
    </xf>
    <xf numFmtId="0" fontId="41" fillId="0" borderId="17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 wrapText="1"/>
    </xf>
    <xf numFmtId="0" fontId="41" fillId="0" borderId="26" applyAlignment="1" pivotButton="0" quotePrefix="0" xfId="0">
      <alignment horizontal="center" vertical="center" wrapText="1"/>
    </xf>
    <xf numFmtId="0" fontId="41" fillId="0" borderId="24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vertical="center" wrapText="1"/>
    </xf>
    <xf numFmtId="0" fontId="41" fillId="0" borderId="25" applyAlignment="1" pivotButton="0" quotePrefix="0" xfId="0">
      <alignment horizontal="center" vertical="center" wrapText="1"/>
    </xf>
    <xf numFmtId="0" fontId="41" fillId="5" borderId="8" applyAlignment="1" pivotButton="0" quotePrefix="0" xfId="0">
      <alignment horizontal="center" vertical="center" wrapText="1"/>
    </xf>
    <xf numFmtId="0" fontId="41" fillId="5" borderId="8" applyAlignment="1" pivotButton="0" quotePrefix="1" xfId="0">
      <alignment horizontal="center" vertical="center" wrapText="1"/>
    </xf>
    <xf numFmtId="0" fontId="41" fillId="0" borderId="36" applyAlignment="1" pivotButton="0" quotePrefix="0" xfId="0">
      <alignment horizontal="center" vertical="center" wrapText="1"/>
    </xf>
    <xf numFmtId="0" fontId="41" fillId="0" borderId="37" applyAlignment="1" pivotButton="0" quotePrefix="0" xfId="0">
      <alignment horizontal="center" vertical="center" wrapText="1"/>
    </xf>
    <xf numFmtId="0" fontId="40" fillId="0" borderId="8" pivotButton="0" quotePrefix="0" xfId="0"/>
    <xf numFmtId="0" fontId="40" fillId="0" borderId="34" pivotButton="0" quotePrefix="0" xfId="0"/>
    <xf numFmtId="0" fontId="40" fillId="0" borderId="24" pivotButton="0" quotePrefix="0" xfId="0"/>
    <xf numFmtId="0" fontId="11" fillId="0" borderId="46" applyAlignment="1" pivotButton="0" quotePrefix="0" xfId="0">
      <alignment horizontal="justify" vertical="center" wrapText="1"/>
    </xf>
    <xf numFmtId="0" fontId="40" fillId="0" borderId="0" applyAlignment="1" pivotButton="0" quotePrefix="0" xfId="0">
      <alignment vertical="center"/>
    </xf>
    <xf numFmtId="0" fontId="39" fillId="5" borderId="8" applyAlignment="1" pivotButton="0" quotePrefix="0" xfId="0">
      <alignment horizontal="center" vertical="center" wrapText="1"/>
    </xf>
    <xf numFmtId="0" fontId="39" fillId="5" borderId="48" applyAlignment="1" pivotButton="0" quotePrefix="0" xfId="0">
      <alignment horizontal="center" vertical="center" wrapText="1"/>
    </xf>
    <xf numFmtId="0" fontId="39" fillId="5" borderId="49" applyAlignment="1" pivotButton="0" quotePrefix="0" xfId="0">
      <alignment horizontal="center" vertical="center" wrapText="1"/>
    </xf>
    <xf numFmtId="0" fontId="11" fillId="3" borderId="20" applyAlignment="1" pivotButton="0" quotePrefix="0" xfId="0">
      <alignment vertical="center"/>
    </xf>
    <xf numFmtId="0" fontId="11" fillId="3" borderId="9" applyAlignment="1" pivotButton="0" quotePrefix="0" xfId="0">
      <alignment vertical="center"/>
    </xf>
    <xf numFmtId="10" fontId="11" fillId="3" borderId="0" applyAlignment="1" pivotButton="0" quotePrefix="0" xfId="0">
      <alignment horizontal="center" vertical="center"/>
    </xf>
    <xf numFmtId="10" fontId="34" fillId="3" borderId="1" applyAlignment="1" pivotButton="0" quotePrefix="0" xfId="0">
      <alignment horizontal="center" vertical="center"/>
    </xf>
    <xf numFmtId="0" fontId="11" fillId="3" borderId="1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42" fillId="5" borderId="0" applyAlignment="1" pivotButton="0" quotePrefix="0" xfId="0">
      <alignment horizontal="center" vertical="center" wrapText="1"/>
    </xf>
    <xf numFmtId="4" fontId="41" fillId="0" borderId="8" applyAlignment="1" pivotButton="0" quotePrefix="0" xfId="1">
      <alignment horizontal="center" vertical="center" wrapText="1"/>
    </xf>
    <xf numFmtId="4" fontId="41" fillId="0" borderId="28" applyAlignment="1" pivotButton="0" quotePrefix="0" xfId="0">
      <alignment horizontal="center" vertical="center" wrapText="1"/>
    </xf>
    <xf numFmtId="2" fontId="43" fillId="3" borderId="8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/>
    </xf>
    <xf numFmtId="0" fontId="47" fillId="0" borderId="0" pivotButton="0" quotePrefix="0" xfId="0"/>
    <xf numFmtId="4" fontId="0" fillId="0" borderId="0" pivotButton="0" quotePrefix="0" xfId="0"/>
    <xf numFmtId="4" fontId="48" fillId="0" borderId="0" pivotButton="0" quotePrefix="0" xfId="0"/>
    <xf numFmtId="2" fontId="41" fillId="0" borderId="8" applyAlignment="1" pivotButton="0" quotePrefix="0" xfId="0">
      <alignment horizontal="right" vertical="center" wrapText="1"/>
    </xf>
    <xf numFmtId="0" fontId="48" fillId="5" borderId="0" applyAlignment="1" pivotButton="0" quotePrefix="0" xfId="0">
      <alignment horizontal="center" vertical="center" wrapText="1"/>
    </xf>
    <xf numFmtId="0" fontId="48" fillId="8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1" fillId="0" borderId="0" pivotButton="0" quotePrefix="0" xfId="4"/>
    <xf numFmtId="10" fontId="40" fillId="0" borderId="0" pivotButton="0" quotePrefix="0" xfId="0"/>
    <xf numFmtId="0" fontId="40" fillId="3" borderId="0" pivotButton="0" quotePrefix="0" xfId="0"/>
    <xf numFmtId="0" fontId="52" fillId="0" borderId="0" pivotButton="0" quotePrefix="0" xfId="0"/>
    <xf numFmtId="0" fontId="53" fillId="0" borderId="0" pivotButton="0" quotePrefix="0" xfId="0"/>
    <xf numFmtId="0" fontId="40" fillId="0" borderId="0" applyAlignment="1" pivotButton="0" quotePrefix="0" xfId="0">
      <alignment horizontal="right" vertical="center" wrapText="1"/>
    </xf>
    <xf numFmtId="0" fontId="43" fillId="3" borderId="11" applyAlignment="1" pivotButton="0" quotePrefix="0" xfId="0">
      <alignment horizontal="center" vertical="center"/>
    </xf>
    <xf numFmtId="0" fontId="42" fillId="5" borderId="8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/>
    </xf>
    <xf numFmtId="0" fontId="52" fillId="0" borderId="0" applyAlignment="1" pivotButton="0" quotePrefix="0" xfId="0">
      <alignment horizontal="left"/>
    </xf>
    <xf numFmtId="0" fontId="40" fillId="0" borderId="20" pivotButton="0" quotePrefix="0" xfId="0"/>
    <xf numFmtId="0" fontId="55" fillId="0" borderId="0" pivotButton="0" quotePrefix="0" xfId="5"/>
    <xf numFmtId="4" fontId="40" fillId="0" borderId="0" applyAlignment="1" pivotButton="0" quotePrefix="0" xfId="0">
      <alignment horizontal="center" vertical="center"/>
    </xf>
    <xf numFmtId="0" fontId="7" fillId="3" borderId="20" pivotButton="0" quotePrefix="0" xfId="0"/>
    <xf numFmtId="0" fontId="7" fillId="3" borderId="20" applyAlignment="1" pivotButton="0" quotePrefix="0" xfId="0">
      <alignment vertical="center"/>
    </xf>
    <xf numFmtId="0" fontId="7" fillId="3" borderId="9" applyAlignment="1" pivotButton="0" quotePrefix="0" xfId="0">
      <alignment vertical="center"/>
    </xf>
    <xf numFmtId="10" fontId="7" fillId="3" borderId="0" applyAlignment="1" pivotButton="0" quotePrefix="0" xfId="0">
      <alignment horizontal="center" vertical="center"/>
    </xf>
    <xf numFmtId="0" fontId="7" fillId="3" borderId="1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4" borderId="0" pivotButton="0" quotePrefix="0" xfId="0"/>
    <xf numFmtId="0" fontId="8" fillId="3" borderId="2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8" fillId="3" borderId="1" applyAlignment="1" pivotButton="0" quotePrefix="0" xfId="0">
      <alignment horizontal="right" vertical="center"/>
    </xf>
    <xf numFmtId="0" fontId="41" fillId="6" borderId="8" applyAlignment="1" pivotButton="0" quotePrefix="0" xfId="0">
      <alignment horizontal="center" vertical="center" wrapText="1"/>
    </xf>
    <xf numFmtId="0" fontId="22" fillId="3" borderId="17" applyAlignment="1" pivotButton="0" quotePrefix="0" xfId="0">
      <alignment horizontal="center" vertical="center"/>
    </xf>
    <xf numFmtId="164" fontId="34" fillId="0" borderId="28" applyAlignment="1" pivotButton="0" quotePrefix="0" xfId="0">
      <alignment horizontal="center" vertical="center" wrapText="1"/>
    </xf>
    <xf numFmtId="164" fontId="34" fillId="0" borderId="33" applyAlignment="1" pivotButton="0" quotePrefix="0" xfId="0">
      <alignment horizontal="center" vertical="center" wrapText="1"/>
    </xf>
    <xf numFmtId="164" fontId="34" fillId="0" borderId="8" applyAlignment="1" pivotButton="0" quotePrefix="0" xfId="0">
      <alignment horizontal="center" vertical="center" wrapText="1"/>
    </xf>
    <xf numFmtId="165" fontId="40" fillId="0" borderId="8" pivotButton="0" quotePrefix="0" xfId="0"/>
    <xf numFmtId="166" fontId="54" fillId="0" borderId="0" applyAlignment="1" pivotButton="0" quotePrefix="0" xfId="0">
      <alignment horizontal="center" vertical="center"/>
    </xf>
    <xf numFmtId="167" fontId="40" fillId="0" borderId="0" applyAlignment="1" pivotButton="0" quotePrefix="0" xfId="0">
      <alignment horizontal="left"/>
    </xf>
    <xf numFmtId="167" fontId="10" fillId="3" borderId="0" applyAlignment="1" pivotButton="0" quotePrefix="0" xfId="0">
      <alignment horizontal="center" vertical="center"/>
    </xf>
    <xf numFmtId="166" fontId="34" fillId="3" borderId="1" applyAlignment="1" pivotButton="0" quotePrefix="0" xfId="0">
      <alignment horizontal="center" vertical="center"/>
    </xf>
    <xf numFmtId="166" fontId="40" fillId="0" borderId="0" applyAlignment="1" pivotButton="0" quotePrefix="0" xfId="0">
      <alignment horizontal="left"/>
    </xf>
    <xf numFmtId="165" fontId="40" fillId="0" borderId="0" pivotButton="0" quotePrefix="0" xfId="0"/>
    <xf numFmtId="166" fontId="7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  <xf numFmtId="168" fontId="40" fillId="0" borderId="0" pivotButton="0" quotePrefix="0" xfId="0"/>
    <xf numFmtId="167" fontId="45" fillId="3" borderId="8" applyAlignment="1" pivotButton="0" quotePrefix="0" xfId="0">
      <alignment horizontal="center" vertical="center" wrapText="1"/>
    </xf>
    <xf numFmtId="167" fontId="43" fillId="3" borderId="8" applyAlignment="1" pivotButton="0" quotePrefix="0" xfId="0">
      <alignment horizontal="center" vertical="center" wrapText="1"/>
    </xf>
    <xf numFmtId="166" fontId="41" fillId="0" borderId="8" applyAlignment="1" pivotButton="0" quotePrefix="0" xfId="0">
      <alignment horizontal="center" vertical="center" wrapText="1"/>
    </xf>
    <xf numFmtId="167" fontId="41" fillId="6" borderId="8" applyAlignment="1" pivotButton="0" quotePrefix="0" xfId="0">
      <alignment horizontal="center" vertical="center" wrapText="1"/>
    </xf>
    <xf numFmtId="167" fontId="41" fillId="0" borderId="8" applyAlignment="1" pivotButton="0" quotePrefix="0" xfId="0">
      <alignment horizontal="center" vertical="center" wrapText="1"/>
    </xf>
    <xf numFmtId="167" fontId="41" fillId="3" borderId="8" applyAlignment="1" pivotButton="0" quotePrefix="0" xfId="0">
      <alignment horizontal="center" vertical="center" wrapText="1"/>
    </xf>
    <xf numFmtId="167" fontId="41" fillId="0" borderId="18" applyAlignment="1" pivotButton="0" quotePrefix="0" xfId="0">
      <alignment horizontal="center" vertical="center" wrapText="1"/>
    </xf>
    <xf numFmtId="167" fontId="41" fillId="0" borderId="35" applyAlignment="1" pivotButton="0" quotePrefix="0" xfId="0">
      <alignment horizontal="center" vertical="center" wrapText="1"/>
    </xf>
    <xf numFmtId="167" fontId="41" fillId="3" borderId="35" applyAlignment="1" pivotButton="0" quotePrefix="0" xfId="0">
      <alignment horizontal="center" vertical="center" wrapText="1"/>
    </xf>
    <xf numFmtId="167" fontId="41" fillId="0" borderId="19" applyAlignment="1" pivotButton="0" quotePrefix="0" xfId="0">
      <alignment horizontal="center" vertical="center" wrapText="1"/>
    </xf>
    <xf numFmtId="168" fontId="41" fillId="6" borderId="8" applyAlignment="1" pivotButton="0" quotePrefix="0" xfId="0">
      <alignment horizontal="center" vertical="center" wrapText="1"/>
    </xf>
    <xf numFmtId="168" fontId="40" fillId="0" borderId="0" applyAlignment="1" pivotButton="0" quotePrefix="0" xfId="0">
      <alignment horizontal="left" vertical="center" wrapText="1"/>
    </xf>
    <xf numFmtId="168" fontId="40" fillId="0" borderId="0" applyAlignment="1" pivotButton="0" quotePrefix="0" xfId="0">
      <alignment horizontal="center" vertical="center" wrapText="1"/>
    </xf>
    <xf numFmtId="2" fontId="41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40" fillId="0" borderId="0" pivotButton="0" quotePrefix="0" xfId="0"/>
    <xf numFmtId="0" fontId="43" fillId="3" borderId="8" applyAlignment="1" pivotButton="0" quotePrefix="0" xfId="0">
      <alignment horizontal="center" vertical="center"/>
    </xf>
    <xf numFmtId="0" fontId="42" fillId="3" borderId="8" applyAlignment="1" pivotButton="0" quotePrefix="0" xfId="0">
      <alignment horizontal="center" vertical="center"/>
    </xf>
    <xf numFmtId="0" fontId="42" fillId="5" borderId="0" applyAlignment="1" pivotButton="0" quotePrefix="0" xfId="0">
      <alignment horizontal="center" vertical="center"/>
    </xf>
    <xf numFmtId="0" fontId="34" fillId="3" borderId="0" applyAlignment="1" pivotButton="0" quotePrefix="0" xfId="0">
      <alignment horizontal="right" vertical="center"/>
    </xf>
    <xf numFmtId="0" fontId="7" fillId="3" borderId="9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167" fontId="34" fillId="3" borderId="1" applyAlignment="1" pivotButton="0" quotePrefix="0" xfId="0">
      <alignment horizontal="center" vertical="center"/>
    </xf>
    <xf numFmtId="0" fontId="41" fillId="6" borderId="34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 wrapText="1"/>
    </xf>
    <xf numFmtId="0" fontId="33" fillId="3" borderId="0" pivotButton="0" quotePrefix="0" xfId="0"/>
    <xf numFmtId="0" fontId="27" fillId="3" borderId="0" pivotButton="0" quotePrefix="0" xfId="0"/>
    <xf numFmtId="0" fontId="32" fillId="3" borderId="0" pivotButton="0" quotePrefix="0" xfId="0"/>
    <xf numFmtId="0" fontId="27" fillId="3" borderId="0" applyAlignment="1" applyProtection="1" pivotButton="0" quotePrefix="0" xfId="0">
      <alignment horizontal="left"/>
      <protection locked="0" hidden="0"/>
    </xf>
    <xf numFmtId="0" fontId="29" fillId="3" borderId="0" pivotButton="0" quotePrefix="0" xfId="0"/>
    <xf numFmtId="0" fontId="22" fillId="3" borderId="8" applyAlignment="1" pivotButton="0" quotePrefix="0" xfId="0">
      <alignment horizontal="center" vertical="center"/>
    </xf>
    <xf numFmtId="0" fontId="12" fillId="3" borderId="0" pivotButton="0" quotePrefix="0" xfId="0"/>
    <xf numFmtId="169" fontId="45" fillId="3" borderId="8" applyAlignment="1" pivotButton="0" quotePrefix="0" xfId="0">
      <alignment horizontal="center" vertical="center" wrapText="1"/>
    </xf>
    <xf numFmtId="170" fontId="41" fillId="0" borderId="8" applyAlignment="1" pivotButton="0" quotePrefix="0" xfId="1">
      <alignment horizontal="center" vertical="center" wrapText="1"/>
    </xf>
    <xf numFmtId="169" fontId="49" fillId="7" borderId="0" applyAlignment="1" pivotButton="0" quotePrefix="0" xfId="0">
      <alignment horizontal="center" vertical="center"/>
    </xf>
    <xf numFmtId="169" fontId="0" fillId="0" borderId="0" pivotButton="0" quotePrefix="0" xfId="0"/>
    <xf numFmtId="171" fontId="25" fillId="3" borderId="0" pivotButton="0" quotePrefix="0" xfId="2"/>
    <xf numFmtId="172" fontId="25" fillId="3" borderId="0" pivotButton="0" quotePrefix="0" xfId="2"/>
    <xf numFmtId="170" fontId="30" fillId="3" borderId="0" pivotButton="0" quotePrefix="0" xfId="1"/>
    <xf numFmtId="173" fontId="30" fillId="3" borderId="0" pivotButton="0" quotePrefix="0" xfId="2"/>
    <xf numFmtId="173" fontId="30" fillId="3" borderId="0" applyAlignment="1" pivotButton="0" quotePrefix="0" xfId="2">
      <alignment horizontal="center"/>
    </xf>
    <xf numFmtId="171" fontId="27" fillId="3" borderId="0" pivotButton="0" quotePrefix="0" xfId="2"/>
    <xf numFmtId="172" fontId="27" fillId="3" borderId="0" pivotButton="0" quotePrefix="0" xfId="2"/>
    <xf numFmtId="171" fontId="32" fillId="3" borderId="0" pivotButton="0" quotePrefix="0" xfId="2"/>
    <xf numFmtId="171" fontId="32" fillId="3" borderId="0" applyAlignment="1" pivotButton="0" quotePrefix="0" xfId="0">
      <alignment horizontal="center"/>
    </xf>
    <xf numFmtId="171" fontId="20" fillId="3" borderId="30" applyAlignment="1" pivotButton="0" quotePrefix="0" xfId="2">
      <alignment horizontal="right"/>
    </xf>
    <xf numFmtId="171" fontId="16" fillId="3" borderId="22" applyAlignment="1" pivotButton="0" quotePrefix="0" xfId="2">
      <alignment horizontal="center"/>
    </xf>
    <xf numFmtId="171" fontId="20" fillId="3" borderId="7" applyAlignment="1" applyProtection="1" pivotButton="0" quotePrefix="0" xfId="0">
      <alignment horizontal="center"/>
      <protection locked="0" hidden="0"/>
    </xf>
    <xf numFmtId="171" fontId="16" fillId="3" borderId="22" pivotButton="0" quotePrefix="0" xfId="2"/>
    <xf numFmtId="171" fontId="20" fillId="3" borderId="5" applyAlignment="1" applyProtection="1" pivotButton="0" quotePrefix="0" xfId="0">
      <alignment horizontal="center"/>
      <protection locked="0" hidden="0"/>
    </xf>
    <xf numFmtId="171" fontId="16" fillId="3" borderId="28" applyAlignment="1" pivotButton="0" quotePrefix="0" xfId="2">
      <alignment horizontal="center"/>
    </xf>
    <xf numFmtId="171" fontId="16" fillId="3" borderId="33" pivotButton="0" quotePrefix="0" xfId="0"/>
    <xf numFmtId="171" fontId="12" fillId="0" borderId="13" applyAlignment="1" applyProtection="1" pivotButton="0" quotePrefix="0" xfId="0">
      <alignment horizontal="right"/>
      <protection locked="0" hidden="0"/>
    </xf>
    <xf numFmtId="171" fontId="12" fillId="0" borderId="0" applyAlignment="1" pivotButton="0" quotePrefix="0" xfId="2">
      <alignment horizontal="right"/>
    </xf>
    <xf numFmtId="171" fontId="13" fillId="0" borderId="2" applyAlignment="1" pivotButton="0" quotePrefix="0" xfId="0">
      <alignment horizontal="center" vertical="center"/>
    </xf>
    <xf numFmtId="171" fontId="13" fillId="0" borderId="14" applyAlignment="1" pivotButton="0" quotePrefix="0" xfId="0">
      <alignment horizontal="center" vertical="center"/>
    </xf>
    <xf numFmtId="171" fontId="13" fillId="0" borderId="11" applyAlignment="1" pivotButton="0" quotePrefix="0" xfId="2">
      <alignment horizontal="center" vertical="center"/>
    </xf>
    <xf numFmtId="0" fontId="38" fillId="3" borderId="20" applyAlignment="1" pivotButton="0" quotePrefix="0" xfId="0">
      <alignment horizontal="right" vertical="center"/>
    </xf>
    <xf numFmtId="0" fontId="0" fillId="0" borderId="0" pivotButton="0" quotePrefix="0" xfId="0"/>
    <xf numFmtId="0" fontId="37" fillId="3" borderId="1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7" pivotButton="0" quotePrefix="0" xfId="0"/>
    <xf numFmtId="0" fontId="37" fillId="3" borderId="9" applyAlignment="1" pivotButton="0" quotePrefix="0" xfId="0">
      <alignment horizontal="left" vertical="center"/>
    </xf>
    <xf numFmtId="0" fontId="0" fillId="0" borderId="9" pivotButton="0" quotePrefix="0" xfId="0"/>
    <xf numFmtId="0" fontId="35" fillId="5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4" pivotButton="0" quotePrefix="0" xfId="0"/>
    <xf numFmtId="168" fontId="38" fillId="3" borderId="0" applyAlignment="1" pivotButton="0" quotePrefix="0" xfId="0">
      <alignment horizontal="center"/>
    </xf>
    <xf numFmtId="0" fontId="35" fillId="5" borderId="0" applyAlignment="1" pivotButton="0" quotePrefix="0" xfId="0">
      <alignment horizontal="center" vertical="center"/>
    </xf>
    <xf numFmtId="0" fontId="38" fillId="3" borderId="19" applyAlignment="1" pivotButton="0" quotePrefix="0" xfId="0">
      <alignment horizontal="center"/>
    </xf>
    <xf numFmtId="0" fontId="38" fillId="3" borderId="19" applyAlignment="1" pivotButton="0" quotePrefix="0" xfId="0">
      <alignment horizontal="right" vertical="center"/>
    </xf>
    <xf numFmtId="0" fontId="38" fillId="0" borderId="8" applyAlignment="1" pivotButton="0" quotePrefix="0" xfId="0">
      <alignment horizontal="center" vertical="center"/>
    </xf>
    <xf numFmtId="0" fontId="37" fillId="3" borderId="1" applyAlignment="1" pivotButton="0" quotePrefix="0" xfId="0">
      <alignment horizontal="center" vertical="center"/>
    </xf>
    <xf numFmtId="0" fontId="0" fillId="0" borderId="1" pivotButton="0" quotePrefix="0" xfId="0"/>
    <xf numFmtId="168" fontId="38" fillId="3" borderId="15" applyAlignment="1" pivotButton="0" quotePrefix="0" xfId="0">
      <alignment horizontal="center"/>
    </xf>
    <xf numFmtId="0" fontId="0" fillId="0" borderId="15" pivotButton="0" quotePrefix="0" xfId="0"/>
    <xf numFmtId="0" fontId="37" fillId="3" borderId="0" applyAlignment="1" pivotButton="0" quotePrefix="0" xfId="0">
      <alignment horizontal="center" vertical="center"/>
    </xf>
    <xf numFmtId="0" fontId="0" fillId="0" borderId="12" pivotButton="0" quotePrefix="0" xfId="0"/>
    <xf numFmtId="168" fontId="38" fillId="3" borderId="9" applyAlignment="1" pivotButton="0" quotePrefix="0" xfId="0">
      <alignment horizontal="center"/>
    </xf>
    <xf numFmtId="0" fontId="37" fillId="3" borderId="1" applyAlignment="1" pivotButton="0" quotePrefix="0" xfId="0">
      <alignment horizontal="left" vertical="center"/>
    </xf>
    <xf numFmtId="0" fontId="37" fillId="3" borderId="13" applyAlignment="1" pivotButton="0" quotePrefix="0" xfId="0">
      <alignment horizontal="center" vertical="center"/>
    </xf>
    <xf numFmtId="167" fontId="37" fillId="3" borderId="13" applyAlignment="1" pivotButton="0" quotePrefix="0" xfId="0">
      <alignment horizontal="center" vertical="center"/>
    </xf>
    <xf numFmtId="0" fontId="37" fillId="3" borderId="35" applyAlignment="1" pivotButton="0" quotePrefix="0" xfId="0">
      <alignment horizontal="center" vertical="center"/>
    </xf>
    <xf numFmtId="0" fontId="37" fillId="3" borderId="15" applyAlignment="1" pivotButton="0" quotePrefix="0" xfId="0">
      <alignment horizontal="left" vertical="center"/>
    </xf>
    <xf numFmtId="2" fontId="37" fillId="3" borderId="35" applyAlignment="1" pivotButton="0" quotePrefix="0" xfId="0">
      <alignment horizontal="center" vertical="center"/>
    </xf>
    <xf numFmtId="168" fontId="38" fillId="3" borderId="18" applyAlignment="1" pivotButton="0" quotePrefix="0" xfId="0">
      <alignment horizontal="center"/>
    </xf>
    <xf numFmtId="168" fontId="38" fillId="3" borderId="17" applyAlignment="1" pivotButton="0" quotePrefix="0" xfId="0">
      <alignment horizontal="center"/>
    </xf>
    <xf numFmtId="0" fontId="38" fillId="3" borderId="12" applyAlignment="1" pivotButton="0" quotePrefix="0" xfId="0">
      <alignment horizontal="right" vertical="center"/>
    </xf>
    <xf numFmtId="0" fontId="38" fillId="3" borderId="12" applyAlignment="1" pivotButton="0" quotePrefix="0" xfId="0">
      <alignment horizontal="center"/>
    </xf>
    <xf numFmtId="2" fontId="37" fillId="3" borderId="13" applyAlignment="1" pivotButton="0" quotePrefix="0" xfId="0">
      <alignment horizontal="center" vertical="center"/>
    </xf>
    <xf numFmtId="168" fontId="38" fillId="3" borderId="1" applyAlignment="1" pivotButton="0" quotePrefix="0" xfId="0">
      <alignment horizontal="center"/>
    </xf>
    <xf numFmtId="0" fontId="38" fillId="3" borderId="20" applyAlignment="1" pivotButton="0" quotePrefix="0" xfId="0">
      <alignment horizontal="center"/>
    </xf>
    <xf numFmtId="167" fontId="37" fillId="3" borderId="35" applyAlignment="1" pivotButton="0" quotePrefix="0" xfId="0">
      <alignment horizontal="center" vertical="center"/>
    </xf>
    <xf numFmtId="0" fontId="50" fillId="5" borderId="0" applyAlignment="1" pivotButton="0" quotePrefix="0" xfId="0">
      <alignment horizontal="center" vertical="center" wrapText="1"/>
    </xf>
    <xf numFmtId="0" fontId="40" fillId="0" borderId="0" pivotButton="0" quotePrefix="0" xfId="0"/>
    <xf numFmtId="166" fontId="43" fillId="3" borderId="8" applyAlignment="1" pivotButton="0" quotePrefix="0" xfId="0">
      <alignment horizontal="center" vertical="center"/>
    </xf>
    <xf numFmtId="0" fontId="43" fillId="3" borderId="8" applyAlignment="1" pivotButton="0" quotePrefix="0" xfId="0">
      <alignment horizontal="center" vertical="center"/>
    </xf>
    <xf numFmtId="10" fontId="42" fillId="3" borderId="8" applyAlignment="1" pivotButton="0" quotePrefix="0" xfId="0">
      <alignment horizontal="center" vertical="center"/>
    </xf>
    <xf numFmtId="0" fontId="40" fillId="3" borderId="8" applyAlignment="1" pivotButton="0" quotePrefix="0" xfId="0">
      <alignment horizontal="center"/>
    </xf>
    <xf numFmtId="0" fontId="42" fillId="3" borderId="8" applyAlignment="1" pivotButton="0" quotePrefix="0" xfId="0">
      <alignment horizontal="center" vertical="center"/>
    </xf>
    <xf numFmtId="0" fontId="42" fillId="3" borderId="13" applyAlignment="1" pivotButton="0" quotePrefix="0" xfId="0">
      <alignment horizontal="center" vertical="center"/>
    </xf>
    <xf numFmtId="167" fontId="43" fillId="0" borderId="8" applyAlignment="1" pivotButton="0" quotePrefix="0" xfId="0">
      <alignment horizontal="center" vertical="center"/>
    </xf>
    <xf numFmtId="0" fontId="44" fillId="3" borderId="8" applyAlignment="1" pivotButton="0" quotePrefix="0" xfId="0">
      <alignment horizontal="center"/>
    </xf>
    <xf numFmtId="0" fontId="42" fillId="5" borderId="0" applyAlignment="1" pivotButton="0" quotePrefix="0" xfId="0">
      <alignment horizontal="center" vertical="center"/>
    </xf>
    <xf numFmtId="0" fontId="42" fillId="5" borderId="8" applyAlignment="1" pivotButton="0" quotePrefix="0" xfId="0">
      <alignment horizontal="center" vertical="center"/>
    </xf>
    <xf numFmtId="167" fontId="43" fillId="3" borderId="8" applyAlignment="1" pivotButton="0" quotePrefix="0" xfId="0">
      <alignment horizontal="center" vertical="center"/>
    </xf>
    <xf numFmtId="166" fontId="40" fillId="3" borderId="8" applyAlignment="1" pivotButton="0" quotePrefix="0" xfId="0">
      <alignment horizontal="center"/>
    </xf>
    <xf numFmtId="0" fontId="43" fillId="0" borderId="8" applyAlignment="1" pivotButton="0" quotePrefix="0" xfId="0">
      <alignment horizontal="left" vertical="center"/>
    </xf>
    <xf numFmtId="0" fontId="44" fillId="3" borderId="13" applyAlignment="1" pivotButton="0" quotePrefix="0" xfId="0">
      <alignment horizontal="center"/>
    </xf>
    <xf numFmtId="0" fontId="44" fillId="5" borderId="8" applyAlignment="1" pivotButton="0" quotePrefix="0" xfId="0">
      <alignment horizontal="center"/>
    </xf>
    <xf numFmtId="10" fontId="42" fillId="3" borderId="8" applyAlignment="1" pivotButton="0" quotePrefix="0" xfId="3">
      <alignment horizontal="center" vertical="center"/>
    </xf>
    <xf numFmtId="0" fontId="42" fillId="0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left" vertical="center"/>
    </xf>
    <xf numFmtId="0" fontId="34" fillId="3" borderId="2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0" fontId="34" fillId="3" borderId="20" applyAlignment="1" pivotButton="0" quotePrefix="0" xfId="0">
      <alignment horizontal="right" vertical="center"/>
    </xf>
    <xf numFmtId="0" fontId="34" fillId="5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left" vertical="center"/>
    </xf>
    <xf numFmtId="0" fontId="7" fillId="3" borderId="9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right" vertical="center"/>
    </xf>
    <xf numFmtId="0" fontId="40" fillId="5" borderId="8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/>
    </xf>
    <xf numFmtId="0" fontId="34" fillId="6" borderId="10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65" fontId="7" fillId="3" borderId="9" applyAlignment="1" pivotButton="0" quotePrefix="0" xfId="0">
      <alignment horizontal="left" vertical="center"/>
    </xf>
    <xf numFmtId="14" fontId="7" fillId="3" borderId="9" applyAlignment="1" pivotButton="0" quotePrefix="0" xfId="0">
      <alignment horizontal="left" vertical="center"/>
    </xf>
    <xf numFmtId="0" fontId="34" fillId="3" borderId="20" applyAlignment="1" pivotButton="0" quotePrefix="0" xfId="0">
      <alignment horizontal="center" vertical="center"/>
    </xf>
    <xf numFmtId="167" fontId="34" fillId="3" borderId="1" applyAlignment="1" pivotButton="0" quotePrefix="0" xfId="0">
      <alignment horizontal="center" vertical="center"/>
    </xf>
    <xf numFmtId="2" fontId="11" fillId="3" borderId="0" applyAlignment="1" pivotButton="0" quotePrefix="0" xfId="0">
      <alignment horizontal="center" vertical="center"/>
    </xf>
    <xf numFmtId="2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4" fillId="3" borderId="0" applyAlignment="1" applyProtection="1" pivotButton="0" quotePrefix="0" xfId="0">
      <alignment horizontal="right" vertical="center"/>
      <protection locked="0" hidden="0"/>
    </xf>
    <xf numFmtId="0" fontId="54" fillId="3" borderId="9" applyAlignment="1" pivotButton="0" quotePrefix="0" xfId="0">
      <alignment horizontal="left" vertical="center"/>
    </xf>
    <xf numFmtId="0" fontId="2" fillId="3" borderId="9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top"/>
    </xf>
    <xf numFmtId="165" fontId="1" fillId="3" borderId="9" applyAlignment="1" pivotButton="0" quotePrefix="0" xfId="0">
      <alignment horizontal="left" vertical="center"/>
    </xf>
    <xf numFmtId="0" fontId="34" fillId="3" borderId="12" applyAlignment="1" pivotButton="0" quotePrefix="0" xfId="0">
      <alignment horizontal="center" vertical="center"/>
    </xf>
    <xf numFmtId="166" fontId="7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168" fontId="7" fillId="3" borderId="9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6" fillId="3" borderId="20" applyAlignment="1" pivotButton="0" quotePrefix="0" xfId="0">
      <alignment horizontal="center" vertical="center"/>
    </xf>
    <xf numFmtId="0" fontId="34" fillId="5" borderId="35" applyAlignment="1" pivotButton="0" quotePrefix="0" xfId="0">
      <alignment horizontal="center" vertical="center"/>
    </xf>
    <xf numFmtId="0" fontId="1" fillId="3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14" fontId="9" fillId="3" borderId="9" applyAlignment="1" pivotButton="0" quotePrefix="0" xfId="0">
      <alignment horizontal="left" vertical="center"/>
    </xf>
    <xf numFmtId="0" fontId="11" fillId="3" borderId="9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1" fillId="0" borderId="2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41" fillId="6" borderId="34" applyAlignment="1" pivotButton="0" quotePrefix="0" xfId="0">
      <alignment horizontal="center" vertical="center" wrapText="1"/>
    </xf>
    <xf numFmtId="49" fontId="41" fillId="0" borderId="20" applyAlignment="1" pivotButton="0" quotePrefix="0" xfId="0">
      <alignment horizontal="left" vertical="center" wrapText="1"/>
    </xf>
    <xf numFmtId="0" fontId="41" fillId="6" borderId="46" applyAlignment="1" pivotButton="0" quotePrefix="0" xfId="0">
      <alignment horizontal="center" vertical="center" wrapText="1"/>
    </xf>
    <xf numFmtId="0" fontId="0" fillId="0" borderId="42" pivotButton="0" quotePrefix="0" xfId="0"/>
    <xf numFmtId="0" fontId="34" fillId="0" borderId="0" applyAlignment="1" pivotButton="0" quotePrefix="0" xfId="0">
      <alignment horizontal="center" vertical="center" wrapText="1"/>
    </xf>
    <xf numFmtId="49" fontId="41" fillId="0" borderId="10" applyAlignment="1" pivotButton="0" quotePrefix="0" xfId="0">
      <alignment horizontal="left" vertical="center" wrapText="1"/>
    </xf>
    <xf numFmtId="0" fontId="41" fillId="0" borderId="47" applyAlignment="1" pivotButton="0" quotePrefix="0" xfId="0">
      <alignment horizontal="left" vertical="center" wrapText="1"/>
    </xf>
    <xf numFmtId="0" fontId="0" fillId="0" borderId="36" pivotButton="0" quotePrefix="0" xfId="0"/>
    <xf numFmtId="168" fontId="34" fillId="6" borderId="14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0" fontId="34" fillId="6" borderId="11" applyAlignment="1" pivotButton="0" quotePrefix="0" xfId="0">
      <alignment horizontal="right"/>
    </xf>
    <xf numFmtId="168" fontId="0" fillId="3" borderId="9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20" applyAlignment="1" pivotButton="0" quotePrefix="0" xfId="0">
      <alignment horizontal="right"/>
    </xf>
    <xf numFmtId="2" fontId="0" fillId="4" borderId="9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0" fillId="4" borderId="20" applyAlignment="1" pivotButton="0" quotePrefix="0" xfId="0">
      <alignment horizontal="right"/>
    </xf>
    <xf numFmtId="168" fontId="34" fillId="4" borderId="14" applyAlignment="1" pivotButton="0" quotePrefix="0" xfId="0">
      <alignment horizontal="center"/>
    </xf>
    <xf numFmtId="168" fontId="0" fillId="4" borderId="9" applyAlignment="1" pivotButton="0" quotePrefix="0" xfId="0">
      <alignment horizontal="center"/>
    </xf>
    <xf numFmtId="0" fontId="34" fillId="4" borderId="11" applyAlignment="1" pivotButton="0" quotePrefix="0" xfId="0">
      <alignment horizontal="right"/>
    </xf>
    <xf numFmtId="2" fontId="0" fillId="3" borderId="9" applyAlignment="1" pivotButton="0" quotePrefix="0" xfId="3">
      <alignment horizontal="center"/>
    </xf>
    <xf numFmtId="0" fontId="16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16" fillId="5" borderId="0" applyAlignment="1" pivotButton="0" quotePrefix="0" xfId="0">
      <alignment horizontal="center" vertical="center"/>
    </xf>
    <xf numFmtId="174" fontId="0" fillId="3" borderId="9" applyAlignment="1" pivotButton="0" quotePrefix="0" xfId="0">
      <alignment horizontal="center"/>
    </xf>
    <xf numFmtId="175" fontId="0" fillId="3" borderId="9" applyAlignment="1" pivotButton="0" quotePrefix="0" xfId="3">
      <alignment horizontal="center"/>
    </xf>
    <xf numFmtId="171" fontId="32" fillId="3" borderId="0" applyAlignment="1" pivotButton="0" quotePrefix="0" xfId="2">
      <alignment horizontal="center"/>
    </xf>
    <xf numFmtId="0" fontId="32" fillId="3" borderId="0" pivotButton="0" quotePrefix="0" xfId="0"/>
    <xf numFmtId="170" fontId="27" fillId="3" borderId="0" applyAlignment="1" pivotButton="0" quotePrefix="0" xfId="1">
      <alignment horizontal="center"/>
    </xf>
    <xf numFmtId="0" fontId="27" fillId="3" borderId="0" pivotButton="0" quotePrefix="0" xfId="0"/>
    <xf numFmtId="0" fontId="26" fillId="3" borderId="0" applyAlignment="1" pivotButton="0" quotePrefix="0" xfId="0">
      <alignment horizontal="center"/>
    </xf>
    <xf numFmtId="0" fontId="33" fillId="3" borderId="0" pivotButton="0" quotePrefix="0" xfId="0"/>
    <xf numFmtId="170" fontId="25" fillId="3" borderId="0" applyAlignment="1" pivotButton="0" quotePrefix="0" xfId="1">
      <alignment horizontal="center"/>
    </xf>
    <xf numFmtId="14" fontId="27" fillId="3" borderId="0" applyAlignment="1" applyProtection="1" pivotButton="0" quotePrefix="0" xfId="0">
      <alignment horizontal="left"/>
      <protection locked="0" hidden="0"/>
    </xf>
    <xf numFmtId="171" fontId="26" fillId="3" borderId="0" applyAlignment="1" applyProtection="1" pivotButton="0" quotePrefix="0" xfId="2">
      <alignment horizontal="center"/>
      <protection locked="0" hidden="0"/>
    </xf>
    <xf numFmtId="49" fontId="27" fillId="3" borderId="0" applyAlignment="1" pivotButton="0" quotePrefix="0" xfId="0">
      <alignment horizontal="center"/>
    </xf>
    <xf numFmtId="170" fontId="30" fillId="3" borderId="0" applyAlignment="1" pivotButton="0" quotePrefix="0" xfId="1">
      <alignment horizontal="center"/>
    </xf>
    <xf numFmtId="0" fontId="25" fillId="0" borderId="0" applyAlignment="1" pivotButton="0" quotePrefix="0" xfId="0">
      <alignment horizontal="center"/>
    </xf>
    <xf numFmtId="170" fontId="27" fillId="3" borderId="0" applyAlignment="1" pivotButton="0" quotePrefix="0" xfId="0">
      <alignment horizontal="center"/>
    </xf>
    <xf numFmtId="0" fontId="28" fillId="3" borderId="0" applyAlignment="1" pivotButton="0" quotePrefix="0" xfId="0">
      <alignment horizontal="center" vertical="top" wrapText="1"/>
    </xf>
    <xf numFmtId="0" fontId="29" fillId="3" borderId="0" pivotButton="0" quotePrefix="0" xfId="0"/>
    <xf numFmtId="171" fontId="33" fillId="3" borderId="0" applyAlignment="1" pivotButton="0" quotePrefix="0" xfId="2">
      <alignment horizontal="center"/>
    </xf>
    <xf numFmtId="39" fontId="33" fillId="3" borderId="0" applyAlignment="1" pivotButton="0" quotePrefix="0" xfId="2">
      <alignment horizontal="right"/>
    </xf>
    <xf numFmtId="17" fontId="32" fillId="3" borderId="0" applyAlignment="1" pivotButton="0" quotePrefix="0" xfId="0">
      <alignment horizontal="left"/>
    </xf>
    <xf numFmtId="0" fontId="18" fillId="3" borderId="0" applyAlignment="1" pivotButton="0" quotePrefix="0" xfId="0">
      <alignment horizontal="center"/>
    </xf>
    <xf numFmtId="170" fontId="15" fillId="4" borderId="0" applyAlignment="1" pivotButton="0" quotePrefix="0" xfId="1">
      <alignment horizontal="center"/>
    </xf>
    <xf numFmtId="171" fontId="33" fillId="4" borderId="0" applyAlignment="1" pivotButton="0" quotePrefix="0" xfId="2">
      <alignment horizontal="center"/>
    </xf>
    <xf numFmtId="171" fontId="33" fillId="3" borderId="0" applyAlignment="1" pivotButton="0" quotePrefix="0" xfId="2">
      <alignment horizontal="right"/>
    </xf>
    <xf numFmtId="0" fontId="27" fillId="3" borderId="0" applyAlignment="1" applyProtection="1" pivotButton="0" quotePrefix="0" xfId="0">
      <alignment horizontal="left"/>
      <protection locked="0" hidden="0"/>
    </xf>
    <xf numFmtId="171" fontId="25" fillId="3" borderId="0" applyAlignment="1" pivotButton="0" quotePrefix="0" xfId="0">
      <alignment horizontal="center"/>
    </xf>
    <xf numFmtId="170" fontId="25" fillId="3" borderId="0" applyAlignment="1" pivotButton="0" quotePrefix="0" xfId="0">
      <alignment horizontal="center"/>
    </xf>
    <xf numFmtId="14" fontId="27" fillId="3" borderId="0" applyAlignment="1" pivotButton="0" quotePrefix="0" xfId="0">
      <alignment horizontal="left"/>
    </xf>
    <xf numFmtId="0" fontId="22" fillId="3" borderId="28" applyAlignment="1" pivotButton="0" quotePrefix="0" xfId="0">
      <alignment horizontal="center" vertical="center"/>
    </xf>
    <xf numFmtId="0" fontId="0" fillId="0" borderId="22" pivotButton="0" quotePrefix="0" xfId="0"/>
    <xf numFmtId="0" fontId="16" fillId="3" borderId="34" applyAlignment="1" pivotButton="0" quotePrefix="0" xfId="0">
      <alignment horizontal="center"/>
    </xf>
    <xf numFmtId="0" fontId="22" fillId="3" borderId="8" applyAlignment="1" pivotButton="0" quotePrefix="0" xfId="0">
      <alignment horizontal="center" vertical="justify"/>
    </xf>
    <xf numFmtId="0" fontId="0" fillId="0" borderId="13" pivotButton="0" quotePrefix="0" xfId="0"/>
    <xf numFmtId="0" fontId="22" fillId="3" borderId="21" applyAlignment="1" pivotButton="0" quotePrefix="0" xfId="0">
      <alignment horizontal="center" vertical="center"/>
    </xf>
    <xf numFmtId="0" fontId="0" fillId="0" borderId="23" pivotButton="0" quotePrefix="0" xfId="0"/>
    <xf numFmtId="0" fontId="22" fillId="3" borderId="8" applyAlignment="1" pivotButton="0" quotePrefix="0" xfId="0">
      <alignment horizontal="center" vertical="center"/>
    </xf>
    <xf numFmtId="0" fontId="22" fillId="3" borderId="14" applyAlignment="1" pivotButton="0" quotePrefix="0" xfId="0">
      <alignment horizontal="center" vertical="center"/>
    </xf>
    <xf numFmtId="0" fontId="22" fillId="3" borderId="14" applyAlignment="1" pivotButton="0" quotePrefix="0" xfId="0">
      <alignment horizontal="center" vertical="center" wrapText="1"/>
    </xf>
    <xf numFmtId="0" fontId="16" fillId="3" borderId="46" applyAlignment="1" pivotButton="0" quotePrefix="0" xfId="0">
      <alignment horizontal="center"/>
    </xf>
    <xf numFmtId="0" fontId="0" fillId="0" borderId="41" pivotButton="0" quotePrefix="0" xfId="0"/>
    <xf numFmtId="0" fontId="16" fillId="3" borderId="51" applyAlignment="1" pivotButton="0" quotePrefix="0" xfId="0">
      <alignment horizontal="center"/>
    </xf>
    <xf numFmtId="0" fontId="12" fillId="3" borderId="0" pivotButton="0" quotePrefix="0" xfId="0"/>
    <xf numFmtId="0" fontId="0" fillId="0" borderId="25" pivotButton="0" quotePrefix="0" xfId="0"/>
    <xf numFmtId="0" fontId="21" fillId="3" borderId="50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12" fillId="0" borderId="8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/>
    </xf>
    <xf numFmtId="0" fontId="21" fillId="3" borderId="0" applyAlignment="1" pivotButton="0" quotePrefix="0" xfId="0">
      <alignment horizontal="center" vertical="top" wrapText="1"/>
    </xf>
    <xf numFmtId="0" fontId="16" fillId="0" borderId="8" applyAlignment="1" pivotButton="0" quotePrefix="0" xfId="0">
      <alignment horizontal="left"/>
    </xf>
    <xf numFmtId="0" fontId="12" fillId="0" borderId="14" applyAlignment="1" pivotButton="0" quotePrefix="0" xfId="0">
      <alignment horizontal="center" vertical="center"/>
    </xf>
    <xf numFmtId="169" fontId="45" fillId="3" borderId="8" applyAlignment="1" pivotButton="0" quotePrefix="0" xfId="0">
      <alignment horizontal="center" vertical="center" wrapText="1"/>
    </xf>
    <xf numFmtId="170" fontId="41" fillId="0" borderId="8" applyAlignment="1" pivotButton="0" quotePrefix="0" xfId="1">
      <alignment horizontal="center" vertical="center" wrapText="1"/>
    </xf>
    <xf numFmtId="175" fontId="0" fillId="3" borderId="9" applyAlignment="1" pivotButton="0" quotePrefix="0" xfId="3">
      <alignment horizontal="center"/>
    </xf>
    <xf numFmtId="174" fontId="0" fillId="3" borderId="9" applyAlignment="1" pivotButton="0" quotePrefix="0" xfId="0">
      <alignment horizontal="center"/>
    </xf>
    <xf numFmtId="169" fontId="49" fillId="7" borderId="0" applyAlignment="1" pivotButton="0" quotePrefix="0" xfId="0">
      <alignment horizontal="center" vertical="center"/>
    </xf>
    <xf numFmtId="169" fontId="0" fillId="0" borderId="0" pivotButton="0" quotePrefix="0" xfId="0"/>
    <xf numFmtId="170" fontId="25" fillId="3" borderId="0" applyAlignment="1" pivotButton="0" quotePrefix="0" xfId="0">
      <alignment horizontal="center"/>
    </xf>
    <xf numFmtId="170" fontId="25" fillId="3" borderId="0" applyAlignment="1" pivotButton="0" quotePrefix="0" xfId="1">
      <alignment horizontal="center"/>
    </xf>
    <xf numFmtId="171" fontId="25" fillId="3" borderId="0" pivotButton="0" quotePrefix="0" xfId="2"/>
    <xf numFmtId="172" fontId="25" fillId="3" borderId="0" pivotButton="0" quotePrefix="0" xfId="2"/>
    <xf numFmtId="170" fontId="15" fillId="4" borderId="0" applyAlignment="1" pivotButton="0" quotePrefix="0" xfId="1">
      <alignment horizontal="center"/>
    </xf>
    <xf numFmtId="170" fontId="30" fillId="3" borderId="0" pivotButton="0" quotePrefix="0" xfId="1"/>
    <xf numFmtId="170" fontId="27" fillId="3" borderId="0" applyAlignment="1" pivotButton="0" quotePrefix="0" xfId="1">
      <alignment horizontal="center"/>
    </xf>
    <xf numFmtId="173" fontId="30" fillId="3" borderId="0" pivotButton="0" quotePrefix="0" xfId="2"/>
    <xf numFmtId="173" fontId="30" fillId="3" borderId="0" applyAlignment="1" pivotButton="0" quotePrefix="0" xfId="2">
      <alignment horizontal="center"/>
    </xf>
    <xf numFmtId="170" fontId="27" fillId="3" borderId="0" applyAlignment="1" pivotButton="0" quotePrefix="0" xfId="0">
      <alignment horizontal="center"/>
    </xf>
    <xf numFmtId="171" fontId="27" fillId="3" borderId="0" pivotButton="0" quotePrefix="0" xfId="2"/>
    <xf numFmtId="172" fontId="27" fillId="3" borderId="0" pivotButton="0" quotePrefix="0" xfId="2"/>
    <xf numFmtId="170" fontId="30" fillId="3" borderId="0" applyAlignment="1" pivotButton="0" quotePrefix="0" xfId="1">
      <alignment horizontal="center"/>
    </xf>
    <xf numFmtId="171" fontId="33" fillId="3" borderId="0" applyAlignment="1" pivotButton="0" quotePrefix="0" xfId="2">
      <alignment horizontal="right"/>
    </xf>
    <xf numFmtId="171" fontId="32" fillId="3" borderId="0" applyAlignment="1" pivotButton="0" quotePrefix="0" xfId="2">
      <alignment horizontal="center"/>
    </xf>
    <xf numFmtId="171" fontId="33" fillId="3" borderId="0" applyAlignment="1" pivotButton="0" quotePrefix="0" xfId="2">
      <alignment horizontal="center"/>
    </xf>
    <xf numFmtId="171" fontId="33" fillId="4" borderId="0" applyAlignment="1" pivotButton="0" quotePrefix="0" xfId="2">
      <alignment horizontal="center"/>
    </xf>
    <xf numFmtId="171" fontId="32" fillId="3" borderId="0" pivotButton="0" quotePrefix="0" xfId="2"/>
    <xf numFmtId="171" fontId="26" fillId="3" borderId="0" applyAlignment="1" applyProtection="1" pivotButton="0" quotePrefix="0" xfId="2">
      <alignment horizontal="center"/>
      <protection locked="0" hidden="0"/>
    </xf>
    <xf numFmtId="171" fontId="25" fillId="3" borderId="0" applyAlignment="1" pivotButton="0" quotePrefix="0" xfId="0">
      <alignment horizontal="center"/>
    </xf>
    <xf numFmtId="171" fontId="32" fillId="3" borderId="0" applyAlignment="1" pivotButton="0" quotePrefix="0" xfId="0">
      <alignment horizontal="center"/>
    </xf>
    <xf numFmtId="171" fontId="20" fillId="3" borderId="30" applyAlignment="1" pivotButton="0" quotePrefix="0" xfId="2">
      <alignment horizontal="right"/>
    </xf>
    <xf numFmtId="171" fontId="16" fillId="3" borderId="22" applyAlignment="1" pivotButton="0" quotePrefix="0" xfId="2">
      <alignment horizontal="center"/>
    </xf>
    <xf numFmtId="171" fontId="20" fillId="3" borderId="7" applyAlignment="1" applyProtection="1" pivotButton="0" quotePrefix="0" xfId="0">
      <alignment horizontal="center"/>
      <protection locked="0" hidden="0"/>
    </xf>
    <xf numFmtId="171" fontId="16" fillId="3" borderId="22" pivotButton="0" quotePrefix="0" xfId="2"/>
    <xf numFmtId="171" fontId="20" fillId="3" borderId="5" applyAlignment="1" applyProtection="1" pivotButton="0" quotePrefix="0" xfId="0">
      <alignment horizontal="center"/>
      <protection locked="0" hidden="0"/>
    </xf>
    <xf numFmtId="171" fontId="16" fillId="3" borderId="28" applyAlignment="1" pivotButton="0" quotePrefix="0" xfId="2">
      <alignment horizontal="center"/>
    </xf>
    <xf numFmtId="171" fontId="16" fillId="3" borderId="33" pivotButton="0" quotePrefix="0" xfId="0"/>
    <xf numFmtId="171" fontId="12" fillId="0" borderId="13" applyAlignment="1" applyProtection="1" pivotButton="0" quotePrefix="0" xfId="0">
      <alignment horizontal="right"/>
      <protection locked="0" hidden="0"/>
    </xf>
    <xf numFmtId="171" fontId="12" fillId="0" borderId="0" applyAlignment="1" pivotButton="0" quotePrefix="0" xfId="2">
      <alignment horizontal="right"/>
    </xf>
    <xf numFmtId="171" fontId="13" fillId="0" borderId="2" applyAlignment="1" pivotButton="0" quotePrefix="0" xfId="0">
      <alignment horizontal="center" vertical="center"/>
    </xf>
    <xf numFmtId="171" fontId="13" fillId="0" borderId="14" applyAlignment="1" pivotButton="0" quotePrefix="0" xfId="0">
      <alignment horizontal="center" vertical="center"/>
    </xf>
    <xf numFmtId="171" fontId="13" fillId="0" borderId="11" applyAlignment="1" pivotButton="0" quotePrefix="0" xfId="2">
      <alignment horizontal="center" vertical="center"/>
    </xf>
    <xf numFmtId="0" fontId="49" fillId="5" borderId="0" applyAlignment="1" pivotButton="0" quotePrefix="0" xfId="0">
      <alignment horizontal="center" vertical="center" wrapText="1"/>
    </xf>
    <xf numFmtId="0" fontId="56" fillId="8" borderId="0" applyAlignment="1" pivotButton="0" quotePrefix="0" xfId="0">
      <alignment vertical="center"/>
    </xf>
    <xf numFmtId="0" fontId="49" fillId="8" borderId="0" applyAlignment="1" pivotButton="0" quotePrefix="0" xfId="0">
      <alignment vertical="center"/>
    </xf>
    <xf numFmtId="0" fontId="38" fillId="8" borderId="0" applyAlignment="1" pivotButton="0" quotePrefix="0" xfId="0">
      <alignment horizontal="left"/>
    </xf>
    <xf numFmtId="0" fontId="57" fillId="9" borderId="0" pivotButton="0" quotePrefix="0" xfId="0"/>
    <xf numFmtId="0" fontId="11" fillId="9" borderId="0" pivotButton="0" quotePrefix="0" xfId="0"/>
    <xf numFmtId="0" fontId="57" fillId="10" borderId="0" applyAlignment="1" pivotButton="0" quotePrefix="0" xfId="0">
      <alignment horizontal="center" vertical="center"/>
    </xf>
    <xf numFmtId="0" fontId="57" fillId="9" borderId="0" applyAlignment="1" pivotButton="0" quotePrefix="0" xfId="0">
      <alignment horizontal="center" vertical="center"/>
    </xf>
  </cellXfs>
  <cellStyles count="6">
    <cellStyle name="Normal" xfId="0" builtinId="0"/>
    <cellStyle name="Moeda" xfId="1" builtinId="4"/>
    <cellStyle name="Vírgula" xfId="2" builtinId="3"/>
    <cellStyle name="Porcentagem" xfId="3" builtinId="5"/>
    <cellStyle name="Hiperlink" xfId="4" builtinId="8"/>
    <cellStyle name="Hiperligação 2" xfId="5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valec</author>
  </authors>
  <commentList>
    <comment ref="P5" authorId="0" shapeId="0">
      <text>
        <t>valec:
SENHA DE PROTEÇÃO: 1234</t>
      </text>
    </comment>
  </commentList>
</comments>
</file>

<file path=xl/comments/comment2.xml><?xml version="1.0" encoding="utf-8"?>
<comments xmlns="http://schemas.openxmlformats.org/spreadsheetml/2006/main">
  <authors>
    <author>valec</author>
  </authors>
  <commentList>
    <comment ref="D5" authorId="0" shapeId="0">
      <text>
        <t>valec:
SENHA DE PROTEÇÃO: 1234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572125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wimoveis.com.br/propriedades/fazenda-com-2-dormitorios-a-venda-40414000-m-sup2-2979429591.html" TargetMode="External" Id="rId1"/><Relationship Type="http://schemas.openxmlformats.org/officeDocument/2006/relationships/hyperlink" Target="https://www.wimoveis.com.br/propriedades/fazenda-a-venda-na-regiao-de-almas-to-2985494046.html" TargetMode="External" Id="rId2"/><Relationship Type="http://schemas.openxmlformats.org/officeDocument/2006/relationships/hyperlink" Target="https://www.wimoveis.com.br/propriedades/fazenda-dianopolis-tocantins-86-alqueires-2978510623.html" TargetMode="External" Id="rId3"/><Relationship Type="http://schemas.openxmlformats.org/officeDocument/2006/relationships/hyperlink" Target="https://www.vivareal.com.br/imovel/fazenda---sitio-2-quartos-zona-rural-bairros-dianopolis-12600000m2-venda-RS75600000-id-2655532548/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47"/>
  <sheetViews>
    <sheetView topLeftCell="A64" workbookViewId="0">
      <selection activeCell="E7" sqref="E7:M7"/>
    </sheetView>
  </sheetViews>
  <sheetFormatPr baseColWidth="8" defaultRowHeight="12.75"/>
  <sheetData>
    <row r="3">
      <c r="B3" s="242" t="inlineStr">
        <is>
          <t>LAUDO DE AVALIAÇÃO Nº 435420</t>
        </is>
      </c>
      <c r="C3" s="238" t="n"/>
      <c r="D3" s="238" t="n"/>
      <c r="E3" s="238" t="n"/>
      <c r="F3" s="238" t="n"/>
      <c r="G3" s="238" t="n"/>
      <c r="H3" s="238" t="n"/>
      <c r="I3" s="238" t="n"/>
      <c r="J3" s="238" t="n"/>
      <c r="K3" s="238" t="n"/>
      <c r="L3" s="238" t="n"/>
      <c r="M3" s="239" t="n"/>
    </row>
    <row r="4">
      <c r="B4" s="255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3" t="n"/>
    </row>
    <row r="5" ht="19.5" customHeight="1" s="236">
      <c r="B5" s="92" t="n"/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</row>
    <row r="6" ht="17.25" customHeight="1" s="236">
      <c r="B6" s="76" t="n"/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8" t="n"/>
    </row>
    <row r="7" ht="17.25" customHeight="1" s="236">
      <c r="B7" s="235" t="inlineStr">
        <is>
          <t>Proponente:</t>
        </is>
      </c>
      <c r="E7" s="240" t="n"/>
      <c r="M7" s="241" t="n"/>
    </row>
    <row r="8" ht="17.25" customHeight="1" s="236">
      <c r="B8" s="235" t="inlineStr">
        <is>
          <t>Processo:</t>
        </is>
      </c>
      <c r="E8" s="240" t="n"/>
      <c r="M8" s="241" t="n"/>
    </row>
    <row r="9" ht="17.25" customHeight="1" s="236">
      <c r="B9" s="235" t="inlineStr">
        <is>
          <t>Agência Solicitante:</t>
        </is>
      </c>
      <c r="E9" s="240" t="n"/>
      <c r="M9" s="241" t="n"/>
    </row>
    <row r="10" ht="17.25" customHeight="1" s="236">
      <c r="B10" s="235" t="inlineStr">
        <is>
          <t>Objetivo:</t>
        </is>
      </c>
      <c r="E10" s="240" t="n"/>
      <c r="M10" s="241" t="n"/>
    </row>
    <row r="11" ht="17.25" customHeight="1" s="236">
      <c r="B11" s="235" t="inlineStr">
        <is>
          <t>Objeto:</t>
        </is>
      </c>
      <c r="E11" s="240" t="n"/>
      <c r="M11" s="241" t="n"/>
    </row>
    <row r="12" ht="17.25" customHeight="1" s="236">
      <c r="B12" s="235" t="inlineStr">
        <is>
          <t>Local e Data:</t>
        </is>
      </c>
      <c r="E12" s="240" t="n"/>
      <c r="M12" s="241" t="n"/>
    </row>
    <row r="13" ht="17.25" customHeight="1" s="236">
      <c r="B13" s="79" t="n"/>
      <c r="C13" s="80" t="n"/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1" t="n"/>
    </row>
    <row r="14" ht="19.5" customHeight="1" s="236"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</row>
    <row r="15" ht="19.5" customHeight="1" s="236"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</row>
    <row r="16" ht="19.5" customHeight="1" s="236"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</row>
    <row r="17" ht="20.25" customHeight="1" s="236">
      <c r="B17" s="246" t="inlineStr">
        <is>
          <t>QUADRO RESUMO DA AVALIAÇÃO</t>
        </is>
      </c>
    </row>
    <row r="18" ht="19.5" customHeight="1" s="236"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</row>
    <row r="19" ht="17.25" customHeight="1" s="236">
      <c r="B19" s="248" t="inlineStr">
        <is>
          <t>Proponente:</t>
        </is>
      </c>
      <c r="C19" s="238" t="n"/>
      <c r="D19" s="238" t="n"/>
      <c r="E19" s="237" t="n"/>
      <c r="F19" s="238" t="n"/>
      <c r="G19" s="238" t="n"/>
      <c r="H19" s="238" t="n"/>
      <c r="I19" s="238" t="n"/>
      <c r="J19" s="238" t="n"/>
      <c r="K19" s="238" t="n"/>
      <c r="L19" s="238" t="n"/>
      <c r="M19" s="239" t="n"/>
    </row>
    <row r="20" ht="17.25" customHeight="1" s="236">
      <c r="B20" s="235" t="inlineStr">
        <is>
          <t>Agência Solicitante:</t>
        </is>
      </c>
      <c r="E20" s="240" t="n"/>
      <c r="M20" s="241" t="n"/>
    </row>
    <row r="21" ht="17.25" customHeight="1" s="236">
      <c r="B21" s="235" t="inlineStr">
        <is>
          <t>Identificação:</t>
        </is>
      </c>
      <c r="E21" s="240" t="n"/>
      <c r="M21" s="241" t="n"/>
    </row>
    <row r="22" ht="17.25" customHeight="1" s="236">
      <c r="B22" s="265" t="inlineStr">
        <is>
          <t>Município:</t>
        </is>
      </c>
      <c r="C22" s="251" t="n"/>
      <c r="D22" s="251" t="n"/>
      <c r="E22" s="257" t="n"/>
      <c r="F22" s="251" t="n"/>
      <c r="G22" s="251" t="n"/>
      <c r="H22" s="251" t="n"/>
      <c r="I22" s="251" t="n"/>
      <c r="J22" s="251" t="n"/>
      <c r="K22" s="161" t="n"/>
      <c r="L22" s="261" t="n"/>
      <c r="M22" s="253" t="n"/>
    </row>
    <row r="23" ht="20.25" customHeight="1" s="236">
      <c r="B23" s="242" t="inlineStr">
        <is>
          <t>IMÓVEL</t>
        </is>
      </c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3" t="n"/>
      <c r="M23" s="244" t="n"/>
    </row>
    <row r="24" ht="15" customHeight="1" s="236">
      <c r="B24" s="249" t="inlineStr">
        <is>
          <t>Nº Matrícula</t>
        </is>
      </c>
      <c r="C24" s="243" t="n"/>
      <c r="D24" s="244" t="n"/>
      <c r="E24" s="249" t="inlineStr">
        <is>
          <t>Identificação</t>
        </is>
      </c>
      <c r="F24" s="243" t="n"/>
      <c r="G24" s="244" t="n"/>
      <c r="H24" s="249" t="inlineStr">
        <is>
          <t>Área Superficial há</t>
        </is>
      </c>
      <c r="I24" s="243" t="n"/>
      <c r="J24" s="244" t="n"/>
      <c r="K24" s="249" t="inlineStr">
        <is>
          <t>Área Construída m²</t>
        </is>
      </c>
      <c r="L24" s="243" t="n"/>
      <c r="M24" s="244" t="n"/>
    </row>
    <row r="25" ht="17.25" customHeight="1" s="236">
      <c r="B25" s="260" t="n"/>
      <c r="C25" s="238" t="n"/>
      <c r="D25" s="239" t="n"/>
      <c r="E25" s="254" t="n"/>
      <c r="H25" s="270" t="n"/>
      <c r="I25" s="238" t="n"/>
      <c r="J25" s="239" t="n"/>
      <c r="K25" s="262" t="n"/>
      <c r="L25" s="238" t="n"/>
      <c r="M25" s="239" t="n"/>
    </row>
    <row r="26" ht="17.25" customHeight="1" s="236">
      <c r="B26" s="258" t="n"/>
      <c r="C26" s="251" t="n"/>
      <c r="D26" s="253" t="n"/>
      <c r="E26" s="250" t="n"/>
      <c r="F26" s="251" t="n"/>
      <c r="G26" s="251" t="n"/>
      <c r="H26" s="259" t="n"/>
      <c r="I26" s="251" t="n"/>
      <c r="J26" s="253" t="n"/>
      <c r="K26" s="267" t="n"/>
      <c r="L26" s="251" t="n"/>
      <c r="M26" s="253" t="n"/>
    </row>
    <row r="27" ht="20.25" customHeight="1" s="236">
      <c r="B27" s="242" t="inlineStr">
        <is>
          <t>CROQUI</t>
        </is>
      </c>
      <c r="C27" s="243" t="n"/>
      <c r="D27" s="243" t="n"/>
      <c r="E27" s="243" t="n"/>
      <c r="F27" s="243" t="n"/>
      <c r="G27" s="243" t="n"/>
      <c r="H27" s="243" t="n"/>
      <c r="I27" s="243" t="n"/>
      <c r="J27" s="243" t="n"/>
      <c r="K27" s="243" t="n"/>
      <c r="L27" s="243" t="n"/>
      <c r="M27" s="244" t="n"/>
    </row>
    <row r="28" ht="17.25" customHeight="1" s="236">
      <c r="B28" s="83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5" t="n"/>
    </row>
    <row r="29" ht="17.25" customHeight="1" s="236">
      <c r="B29" s="86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8" t="n"/>
    </row>
    <row r="30" ht="17.25" customHeight="1" s="236">
      <c r="B30" s="86" t="n"/>
      <c r="C30" s="87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8" t="n"/>
    </row>
    <row r="31" ht="17.25" customHeight="1" s="236">
      <c r="B31" s="86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8" t="n"/>
    </row>
    <row r="32" ht="17.25" customHeight="1" s="236">
      <c r="B32" s="86" t="n"/>
      <c r="C32" s="87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88" t="n"/>
    </row>
    <row r="33" ht="17.25" customHeight="1" s="236">
      <c r="B33" s="89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1" t="n"/>
    </row>
    <row r="34" ht="20.25" customHeight="1" s="236">
      <c r="B34" s="242" t="inlineStr">
        <is>
          <t>VALORES</t>
        </is>
      </c>
      <c r="C34" s="243" t="n"/>
      <c r="D34" s="243" t="n"/>
      <c r="E34" s="243" t="n"/>
      <c r="F34" s="243" t="n"/>
      <c r="G34" s="243" t="n"/>
      <c r="H34" s="243" t="n"/>
      <c r="I34" s="243" t="n"/>
      <c r="J34" s="243" t="n"/>
      <c r="K34" s="243" t="n"/>
      <c r="L34" s="243" t="n"/>
      <c r="M34" s="244" t="n"/>
    </row>
    <row r="35" ht="15" customHeight="1" s="236">
      <c r="B35" s="249" t="inlineStr">
        <is>
          <t>MATRÍCULA</t>
        </is>
      </c>
      <c r="C35" s="243" t="n"/>
      <c r="D35" s="243" t="n"/>
      <c r="E35" s="244" t="n"/>
      <c r="F35" s="249" t="inlineStr">
        <is>
          <t>MERCADO R$</t>
        </is>
      </c>
      <c r="G35" s="243" t="n"/>
      <c r="H35" s="243" t="n"/>
      <c r="I35" s="244" t="n"/>
      <c r="J35" s="249" t="inlineStr">
        <is>
          <t>LIQUIDAÇÃO FORÇADA R$</t>
        </is>
      </c>
      <c r="K35" s="243" t="n"/>
      <c r="L35" s="243" t="n"/>
      <c r="M35" s="244" t="n"/>
    </row>
    <row r="36" ht="15" customHeight="1" s="236">
      <c r="B36" s="247" t="n"/>
      <c r="C36" s="238" t="n"/>
      <c r="D36" s="238" t="n"/>
      <c r="E36" s="238" t="n"/>
      <c r="F36" s="263" t="n"/>
      <c r="G36" s="238" t="n"/>
      <c r="H36" s="238" t="n"/>
      <c r="I36" s="238" t="n"/>
      <c r="J36" s="264" t="n"/>
      <c r="K36" s="238" t="n"/>
      <c r="L36" s="238" t="n"/>
      <c r="M36" s="239" t="n"/>
    </row>
    <row r="37" ht="15" customHeight="1" s="236">
      <c r="B37" s="269" t="n"/>
      <c r="F37" s="245" t="n"/>
      <c r="J37" s="256" t="n"/>
      <c r="M37" s="241" t="n"/>
    </row>
    <row r="38" ht="15" customHeight="1" s="236">
      <c r="B38" s="266" t="inlineStr">
        <is>
          <t>TOTAL</t>
        </is>
      </c>
      <c r="C38" s="251" t="n"/>
      <c r="D38" s="251" t="n"/>
      <c r="E38" s="251" t="n"/>
      <c r="F38" s="268" t="n"/>
      <c r="G38" s="251" t="n"/>
      <c r="H38" s="251" t="n"/>
      <c r="I38" s="251" t="n"/>
      <c r="J38" s="252" t="n"/>
      <c r="K38" s="251" t="n"/>
      <c r="L38" s="251" t="n"/>
      <c r="M38" s="253" t="n"/>
    </row>
    <row r="39" ht="20.25" customHeight="1" s="236">
      <c r="B39" s="242" t="inlineStr">
        <is>
          <t>OBSERVAÇÕES</t>
        </is>
      </c>
      <c r="C39" s="243" t="n"/>
      <c r="D39" s="243" t="n"/>
      <c r="E39" s="243" t="n"/>
      <c r="F39" s="243" t="n"/>
      <c r="G39" s="243" t="n"/>
      <c r="H39" s="243" t="n"/>
      <c r="I39" s="243" t="n"/>
      <c r="J39" s="243" t="n"/>
      <c r="K39" s="243" t="n"/>
      <c r="L39" s="243" t="n"/>
      <c r="M39" s="244" t="n"/>
    </row>
    <row r="40" ht="19.5" customHeight="1" s="236"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</row>
    <row r="41" ht="19.5" customHeight="1" s="236">
      <c r="B41" s="92" t="n"/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92" t="n"/>
      <c r="M41" s="92" t="n"/>
    </row>
    <row r="42" ht="19.5" customHeight="1" s="236"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92" t="n"/>
      <c r="M42" s="92" t="n"/>
    </row>
    <row r="43" ht="19.5" customHeight="1" s="236"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</row>
    <row r="44" ht="19.5" customHeight="1" s="236"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  <c r="L44" s="92" t="n"/>
      <c r="M44" s="92" t="n"/>
    </row>
    <row r="45" ht="19.5" customHeight="1" s="236"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</row>
    <row r="46" ht="19.5" customHeight="1" s="236"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92" t="n"/>
    </row>
    <row r="47" ht="19.5" customHeight="1" s="236"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</row>
  </sheetData>
  <mergeCells count="51">
    <mergeCell ref="B11:D11"/>
    <mergeCell ref="E19:M19"/>
    <mergeCell ref="E10:M10"/>
    <mergeCell ref="B37:E37"/>
    <mergeCell ref="B8:D8"/>
    <mergeCell ref="B23:M23"/>
    <mergeCell ref="F37:I37"/>
    <mergeCell ref="E9:M9"/>
    <mergeCell ref="B17:M17"/>
    <mergeCell ref="B36:E36"/>
    <mergeCell ref="B10:D10"/>
    <mergeCell ref="B34:M34"/>
    <mergeCell ref="B19:D19"/>
    <mergeCell ref="B35:E35"/>
    <mergeCell ref="E11:M11"/>
    <mergeCell ref="B9:D9"/>
    <mergeCell ref="E26:G26"/>
    <mergeCell ref="J38:M38"/>
    <mergeCell ref="B3:M4"/>
    <mergeCell ref="B24:D24"/>
    <mergeCell ref="B20:D20"/>
    <mergeCell ref="J37:M37"/>
    <mergeCell ref="E25:G25"/>
    <mergeCell ref="E20:M20"/>
    <mergeCell ref="E7:M7"/>
    <mergeCell ref="H24:J24"/>
    <mergeCell ref="E22:J22"/>
    <mergeCell ref="B26:D26"/>
    <mergeCell ref="H26:J26"/>
    <mergeCell ref="E21:M21"/>
    <mergeCell ref="B25:D25"/>
    <mergeCell ref="B7:D7"/>
    <mergeCell ref="L22:M22"/>
    <mergeCell ref="K25:M25"/>
    <mergeCell ref="E12:M12"/>
    <mergeCell ref="F36:I36"/>
    <mergeCell ref="E24:G24"/>
    <mergeCell ref="K24:M24"/>
    <mergeCell ref="J36:M36"/>
    <mergeCell ref="F35:I35"/>
    <mergeCell ref="B22:D22"/>
    <mergeCell ref="J35:M35"/>
    <mergeCell ref="B38:E38"/>
    <mergeCell ref="F38:I38"/>
    <mergeCell ref="B21:D21"/>
    <mergeCell ref="B27:M27"/>
    <mergeCell ref="K26:M26"/>
    <mergeCell ref="B12:D12"/>
    <mergeCell ref="E8:M8"/>
    <mergeCell ref="H25:J25"/>
    <mergeCell ref="B39:M39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G39"/>
  <sheetViews>
    <sheetView topLeftCell="A12" workbookViewId="0">
      <selection activeCell="G26" sqref="G26"/>
    </sheetView>
  </sheetViews>
  <sheetFormatPr baseColWidth="8" defaultColWidth="9.140625" defaultRowHeight="12.75"/>
  <cols>
    <col width="9.140625" customWidth="1" style="272" min="1" max="3"/>
    <col width="29.85546875" customWidth="1" style="272" min="4" max="4"/>
    <col width="16.5703125" customWidth="1" style="272" min="5" max="5"/>
    <col width="9.140625" customWidth="1" style="272" min="6" max="79"/>
    <col width="9.140625" customWidth="1" style="272" min="80" max="16384"/>
  </cols>
  <sheetData>
    <row r="8" ht="13.5" customHeight="1" s="236" thickBot="1"/>
    <row r="9" ht="15.75" customHeight="1" s="236" thickBot="1">
      <c r="D9" s="117" t="inlineStr">
        <is>
          <t>HIDROGRAFIA</t>
        </is>
      </c>
      <c r="E9" s="118" t="inlineStr">
        <is>
          <t xml:space="preserve"> </t>
        </is>
      </c>
    </row>
    <row r="10" ht="15" customHeight="1" s="236">
      <c r="D10" s="112" t="inlineStr">
        <is>
          <t>1,30 a 1,50 - (MUITO BOM)</t>
        </is>
      </c>
      <c r="E10" s="164" t="n">
        <v>1.2</v>
      </c>
    </row>
    <row r="11" ht="15" customHeight="1" s="236">
      <c r="D11" s="112" t="inlineStr">
        <is>
          <t>1,15 a 1,29 - (BOM)</t>
        </is>
      </c>
      <c r="E11" s="164" t="n">
        <v>1.1</v>
      </c>
    </row>
    <row r="12" ht="15" customHeight="1" s="236">
      <c r="D12" s="112" t="inlineStr">
        <is>
          <t>1,01 a 1,14 - (NORMAL)</t>
        </is>
      </c>
      <c r="E12" s="164" t="n">
        <v>1</v>
      </c>
    </row>
    <row r="13" ht="15" customHeight="1" s="236">
      <c r="D13" s="113" t="inlineStr">
        <is>
          <t>1,00 - (REGULAR)</t>
        </is>
      </c>
      <c r="E13" s="164" t="n">
        <v>0.9</v>
      </c>
    </row>
    <row r="14" ht="15" customHeight="1" s="236">
      <c r="D14" s="112" t="inlineStr">
        <is>
          <t>0,80 a 0,99 - (RUIM)</t>
        </is>
      </c>
      <c r="E14" s="164" t="n">
        <v>0.8</v>
      </c>
    </row>
    <row r="15" ht="15.75" customHeight="1" s="236" thickBot="1">
      <c r="D15" s="114" t="inlineStr">
        <is>
          <t>0,50 a 0,79 - (MUITO RUIM)</t>
        </is>
      </c>
      <c r="E15" s="165" t="n">
        <v>0.7</v>
      </c>
    </row>
    <row r="17">
      <c r="D17" s="115" t="inlineStr">
        <is>
          <t>FONTE: DESLANDES, CRISTIANO AUGUSTO - AVALIAÇÃO DE IMÓVEIS RURAIS (2002).</t>
        </is>
      </c>
    </row>
    <row r="18">
      <c r="D18" s="115" t="inlineStr">
        <is>
          <t>FONTE: GLOSSÁRIO INTERNACIONAL DE HIDROLOGIA (UNESCO).</t>
        </is>
      </c>
    </row>
    <row r="21" ht="15" customHeight="1" s="236">
      <c r="D21" s="116" t="inlineStr">
        <is>
          <t>BENFEITORIAS</t>
        </is>
      </c>
      <c r="E21" s="116" t="inlineStr">
        <is>
          <t>Fatores</t>
        </is>
      </c>
    </row>
    <row r="22" ht="15" customHeight="1" s="236">
      <c r="D22" s="111" t="inlineStr">
        <is>
          <t>MUITO ACIMA DA MÉDIA</t>
        </is>
      </c>
      <c r="E22" s="166" t="n">
        <v>1.2</v>
      </c>
    </row>
    <row r="23" ht="15" customHeight="1" s="236">
      <c r="D23" s="111" t="inlineStr">
        <is>
          <t>ACIMA DA MÉDIA</t>
        </is>
      </c>
      <c r="E23" s="166" t="n">
        <v>1.1</v>
      </c>
    </row>
    <row r="24" ht="15" customHeight="1" s="236">
      <c r="D24" s="111" t="inlineStr">
        <is>
          <t>MÉDIA</t>
        </is>
      </c>
      <c r="E24" s="166" t="n">
        <v>1</v>
      </c>
    </row>
    <row r="25" ht="15" customHeight="1" s="236">
      <c r="D25" s="111" t="inlineStr">
        <is>
          <t>ABAIXO DA MÉDIA</t>
        </is>
      </c>
      <c r="E25" s="166" t="n">
        <v>0.9</v>
      </c>
    </row>
    <row r="26" ht="15" customHeight="1" s="236">
      <c r="D26" s="111" t="inlineStr">
        <is>
          <t>MUITO ABAIXO DA MÉDIA</t>
        </is>
      </c>
      <c r="E26" s="166" t="n">
        <v>0.8</v>
      </c>
    </row>
    <row r="27" ht="15" customHeight="1" s="236">
      <c r="D27" s="111" t="inlineStr">
        <is>
          <t>SEM BENFEITORIA</t>
        </is>
      </c>
      <c r="E27" s="166" t="n">
        <v>0.7</v>
      </c>
    </row>
    <row r="32" ht="15" customHeight="1" s="236">
      <c r="D32" s="271" t="inlineStr">
        <is>
          <t>Situação</t>
        </is>
      </c>
      <c r="E32" s="134" t="inlineStr">
        <is>
          <t>CARACTERÍSTICA</t>
        </is>
      </c>
      <c r="F32" s="134" t="n"/>
      <c r="G32" s="134" t="n"/>
    </row>
    <row r="33" ht="30" customHeight="1" s="236">
      <c r="E33" s="135" t="inlineStr">
        <is>
          <t>Tipo de Estrada</t>
        </is>
      </c>
      <c r="F33" s="135" t="inlineStr">
        <is>
          <t>Trafegabilidade</t>
        </is>
      </c>
      <c r="G33" s="135" t="inlineStr">
        <is>
          <t>Fatores</t>
        </is>
      </c>
    </row>
    <row r="34" ht="45" customHeight="1" s="236">
      <c r="D34" s="136" t="inlineStr">
        <is>
          <t>Ótima</t>
        </is>
      </c>
      <c r="E34" s="136" t="inlineStr">
        <is>
          <t>Pavimentada com asfalto/concreto</t>
        </is>
      </c>
      <c r="F34" s="136" t="inlineStr">
        <is>
          <t>Permanente</t>
        </is>
      </c>
      <c r="G34" s="137" t="n">
        <v>1.2</v>
      </c>
    </row>
    <row r="35" ht="60" customHeight="1" s="236">
      <c r="D35" s="136" t="inlineStr">
        <is>
          <t>Muito Boa</t>
        </is>
      </c>
      <c r="E35" s="136" t="inlineStr">
        <is>
          <t>Pavimentada com cascalhamento/intertravado</t>
        </is>
      </c>
      <c r="F35" s="136" t="inlineStr">
        <is>
          <t>Permanente</t>
        </is>
      </c>
      <c r="G35" s="137" t="n">
        <v>1.1</v>
      </c>
    </row>
    <row r="36" ht="30" customHeight="1" s="236">
      <c r="D36" s="136" t="inlineStr">
        <is>
          <t>Boa</t>
        </is>
      </c>
      <c r="E36" s="136" t="inlineStr">
        <is>
          <t>Não Pavimentada</t>
        </is>
      </c>
      <c r="F36" s="136" t="inlineStr">
        <is>
          <t>Permanente</t>
        </is>
      </c>
      <c r="G36" s="137" t="n">
        <v>1</v>
      </c>
    </row>
    <row r="37" ht="75" customHeight="1" s="236">
      <c r="D37" s="136" t="inlineStr">
        <is>
          <t>Desfavorável</t>
        </is>
      </c>
      <c r="E37" s="136" t="inlineStr">
        <is>
          <t>Não Pavimentada e Servidões de Passagem</t>
        </is>
      </c>
      <c r="F37" s="136" t="inlineStr">
        <is>
          <t>Problemas sérios nas Estações chuvosas</t>
        </is>
      </c>
      <c r="G37" s="137" t="n">
        <v>0.9</v>
      </c>
    </row>
    <row r="38" ht="45" customHeight="1" s="236">
      <c r="D38" s="136" t="inlineStr">
        <is>
          <t>Má</t>
        </is>
      </c>
      <c r="E38" s="136" t="inlineStr">
        <is>
          <t>Servidões com a presença de fechos</t>
        </is>
      </c>
      <c r="F38" s="136" t="n"/>
      <c r="G38" s="137" t="n">
        <v>0.8</v>
      </c>
    </row>
    <row r="39" ht="60" customHeight="1" s="236">
      <c r="D39" s="136" t="inlineStr">
        <is>
          <t>Péssima</t>
        </is>
      </c>
      <c r="E39" s="136" t="inlineStr">
        <is>
          <t>Fechos e interceptados por córregos sem pontes</t>
        </is>
      </c>
      <c r="F39" s="136" t="inlineStr">
        <is>
          <t>Problemas sérios mesmo nas secas</t>
        </is>
      </c>
      <c r="G39" s="137" t="n">
        <v>0.7</v>
      </c>
    </row>
    <row r="40" ht="15" customHeight="1" s="236"/>
    <row r="41" ht="13.5" customHeight="1" s="236"/>
    <row r="42" ht="45" customHeight="1" s="236"/>
    <row r="44" ht="30" customHeight="1" s="236"/>
    <row r="45" ht="76.5" customHeight="1" s="236"/>
    <row r="46" ht="44.25" customHeight="1" s="236"/>
    <row r="47" ht="64.5" customHeight="1" s="236"/>
  </sheetData>
  <mergeCells count="1">
    <mergeCell ref="D32:D33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T20"/>
  <sheetViews>
    <sheetView workbookViewId="0">
      <selection activeCell="C17" sqref="C17:I20"/>
    </sheetView>
  </sheetViews>
  <sheetFormatPr baseColWidth="8" defaultColWidth="9.140625" defaultRowHeight="12.75"/>
  <cols>
    <col width="9.140625" customWidth="1" style="272" min="1" max="4"/>
    <col width="14.28515625" customWidth="1" style="272" min="5" max="5"/>
    <col width="20.7109375" customWidth="1" style="272" min="6" max="6"/>
    <col width="8.28515625" bestFit="1" customWidth="1" style="272" min="7" max="7"/>
    <col width="9.140625" customWidth="1" style="272" min="8" max="9"/>
    <col width="14.42578125" customWidth="1" style="272" min="10" max="10"/>
    <col width="9.140625" customWidth="1" style="272" min="11" max="84"/>
    <col width="9.140625" customWidth="1" style="272" min="85" max="16384"/>
  </cols>
  <sheetData>
    <row r="2"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</row>
    <row r="3">
      <c r="L3" s="141" t="n"/>
      <c r="M3" s="141" t="n"/>
      <c r="N3" s="141" t="n"/>
      <c r="O3" s="141" t="inlineStr">
        <is>
          <t>APP</t>
        </is>
      </c>
      <c r="P3" s="141" t="inlineStr">
        <is>
          <t>ARL</t>
        </is>
      </c>
      <c r="Q3" s="141" t="n"/>
      <c r="R3" s="141" t="n"/>
      <c r="S3" s="141" t="n"/>
      <c r="T3" s="141" t="n"/>
    </row>
    <row r="4">
      <c r="C4" s="281" t="inlineStr">
        <is>
          <t>MATRÍCULA 5.723</t>
        </is>
      </c>
      <c r="L4" s="141" t="n"/>
      <c r="M4" s="141" t="n"/>
      <c r="N4" s="141" t="n"/>
      <c r="O4" s="142" t="n">
        <v>13.6783</v>
      </c>
      <c r="P4" s="142" t="n">
        <v>141.8504</v>
      </c>
      <c r="Q4" s="141">
        <f>P4+O4</f>
        <v/>
      </c>
      <c r="R4" s="141" t="n"/>
      <c r="S4" s="141" t="n"/>
      <c r="T4" s="141" t="n"/>
    </row>
    <row r="5">
      <c r="C5" s="278" t="inlineStr">
        <is>
          <t>AREA TOTAL</t>
        </is>
      </c>
      <c r="D5" s="253" t="n"/>
      <c r="E5" s="278" t="inlineStr">
        <is>
          <t>AREA DE RESERVA LEGAL</t>
        </is>
      </c>
      <c r="F5" s="253" t="n"/>
      <c r="G5" s="278" t="inlineStr">
        <is>
          <t>AREA DE APP</t>
        </is>
      </c>
      <c r="H5" s="253" t="n"/>
      <c r="I5" s="286" t="inlineStr">
        <is>
          <t>ÁREA CONSTRUÍDA</t>
        </is>
      </c>
      <c r="J5" s="253" t="n"/>
      <c r="L5" s="141" t="n"/>
      <c r="M5" s="141" t="n"/>
      <c r="N5" s="141" t="inlineStr">
        <is>
          <t>AU</t>
        </is>
      </c>
      <c r="O5" s="141" t="n"/>
      <c r="P5" s="141" t="n"/>
      <c r="Q5" s="141" t="n"/>
      <c r="R5" s="141" t="n"/>
      <c r="S5" s="141" t="n"/>
      <c r="T5" s="141" t="n"/>
    </row>
    <row r="6">
      <c r="C6" s="274">
        <f>AMOSTRAS!E6</f>
        <v/>
      </c>
      <c r="D6" s="244" t="n"/>
      <c r="E6" s="273" t="inlineStr">
        <is>
          <t xml:space="preserve"> -</t>
        </is>
      </c>
      <c r="F6" s="244" t="n"/>
      <c r="G6" s="274" t="inlineStr">
        <is>
          <t>-</t>
        </is>
      </c>
      <c r="H6" s="244" t="n"/>
      <c r="I6" s="276" t="inlineStr">
        <is>
          <t>-</t>
        </is>
      </c>
      <c r="J6" s="244" t="n"/>
      <c r="L6" s="141" t="n">
        <v>231.63</v>
      </c>
      <c r="M6" s="141" t="n"/>
      <c r="N6" s="141">
        <f>L6+7.12</f>
        <v/>
      </c>
      <c r="O6" s="141" t="n"/>
      <c r="P6" s="141" t="n"/>
      <c r="Q6" s="141" t="n"/>
      <c r="R6" s="141">
        <f>P4+O4+N6</f>
        <v/>
      </c>
      <c r="S6" s="141" t="n"/>
      <c r="T6" s="141" t="n"/>
    </row>
    <row r="7">
      <c r="C7" s="282" t="inlineStr">
        <is>
          <t>CERTIFICADO DE CADASTRO DE IMÓVEL RURAL - CCIR</t>
        </is>
      </c>
      <c r="D7" s="243" t="n"/>
      <c r="E7" s="243" t="n"/>
      <c r="F7" s="243" t="n"/>
      <c r="G7" s="243" t="n"/>
      <c r="H7" s="243" t="n"/>
      <c r="I7" s="243" t="n"/>
      <c r="J7" s="244" t="n"/>
      <c r="L7" s="141" t="n"/>
      <c r="M7" s="141" t="n"/>
      <c r="N7" s="141" t="n"/>
      <c r="O7" s="141" t="n"/>
      <c r="P7" s="141" t="n"/>
      <c r="Q7" s="141" t="n"/>
      <c r="R7" s="141">
        <f>C6-R6</f>
        <v/>
      </c>
      <c r="S7" s="141" t="inlineStr">
        <is>
          <t>AR</t>
        </is>
      </c>
      <c r="T7" s="141" t="n"/>
    </row>
    <row r="8">
      <c r="C8" s="277" t="inlineStr">
        <is>
          <t>AREA TOTAL</t>
        </is>
      </c>
      <c r="D8" s="244" t="n"/>
      <c r="E8" s="277" t="inlineStr">
        <is>
          <t>CLASSIFICAÇÃO FUNDIÁRIA</t>
        </is>
      </c>
      <c r="F8" s="244" t="n"/>
      <c r="G8" s="277" t="inlineStr">
        <is>
          <t>MÓDULO RURAL</t>
        </is>
      </c>
      <c r="H8" s="244" t="n"/>
      <c r="I8" s="280" t="inlineStr">
        <is>
          <t>Nº DE MÓDULOS RURAIS</t>
        </is>
      </c>
      <c r="J8" s="244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</row>
    <row r="9">
      <c r="C9" s="273" t="n">
        <v>387.2</v>
      </c>
      <c r="D9" s="244" t="n"/>
      <c r="E9" s="273" t="inlineStr">
        <is>
          <t>Média Propriedade Proditova</t>
        </is>
      </c>
      <c r="F9" s="244" t="n"/>
      <c r="G9" s="273" t="n">
        <v>80</v>
      </c>
      <c r="H9" s="244" t="n"/>
      <c r="I9" s="273" t="n">
        <v>4.84</v>
      </c>
      <c r="J9" s="244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</row>
    <row r="10">
      <c r="C10" s="282" t="inlineStr">
        <is>
          <t>CADASTRO AMBIENTAL RURAL - CAR</t>
        </is>
      </c>
      <c r="D10" s="243" t="n"/>
      <c r="E10" s="243" t="n"/>
      <c r="F10" s="243" t="n"/>
      <c r="G10" s="243" t="n"/>
      <c r="H10" s="243" t="n"/>
      <c r="I10" s="243" t="n"/>
      <c r="J10" s="244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</row>
    <row r="11">
      <c r="C11" s="277" t="inlineStr">
        <is>
          <t>AREA TOTAL</t>
        </is>
      </c>
      <c r="D11" s="244" t="n"/>
      <c r="E11" s="277" t="inlineStr">
        <is>
          <t>AREA DE RESERVA LEGAL</t>
        </is>
      </c>
      <c r="F11" s="244" t="n"/>
      <c r="G11" s="277" t="inlineStr">
        <is>
          <t>AREA DE APP</t>
        </is>
      </c>
      <c r="H11" s="244" t="n"/>
      <c r="I11" s="280" t="inlineStr">
        <is>
          <t>ÁREA CONSOLIDADA</t>
        </is>
      </c>
      <c r="J11" s="244" t="n"/>
    </row>
    <row r="12">
      <c r="C12" s="273" t="n">
        <v>769.477</v>
      </c>
      <c r="D12" s="244" t="n"/>
      <c r="E12" s="273" t="n">
        <v>271.2444</v>
      </c>
      <c r="F12" s="244" t="n"/>
      <c r="G12" s="274" t="n">
        <v>23.6993</v>
      </c>
      <c r="H12" s="244" t="n"/>
      <c r="I12" s="284" t="inlineStr">
        <is>
          <t xml:space="preserve"> -</t>
        </is>
      </c>
      <c r="J12" s="244" t="n"/>
    </row>
    <row r="13">
      <c r="C13" s="277" t="inlineStr">
        <is>
          <t>SITUAÇÃO</t>
        </is>
      </c>
      <c r="D13" s="244" t="n"/>
      <c r="E13" s="274" t="inlineStr">
        <is>
          <t>Ativo</t>
        </is>
      </c>
      <c r="F13" s="244" t="n"/>
      <c r="G13" s="277" t="inlineStr">
        <is>
          <t>CONDIÇÃO</t>
        </is>
      </c>
      <c r="H13" s="244" t="n"/>
      <c r="I13" s="276" t="inlineStr">
        <is>
          <t>Aguardando Análise</t>
        </is>
      </c>
      <c r="J13" s="244" t="n"/>
    </row>
    <row r="16">
      <c r="C16" s="287">
        <f>C4</f>
        <v/>
      </c>
      <c r="D16" s="243" t="n"/>
      <c r="E16" s="243" t="n"/>
      <c r="F16" s="243" t="n"/>
      <c r="G16" s="243" t="n"/>
      <c r="H16" s="243" t="n"/>
      <c r="I16" s="244" t="n"/>
    </row>
    <row r="17">
      <c r="C17" s="282" t="inlineStr">
        <is>
          <t>USO DA TERRA</t>
        </is>
      </c>
      <c r="D17" s="243" t="n"/>
      <c r="E17" s="244" t="n"/>
      <c r="F17" s="282" t="inlineStr">
        <is>
          <t>ÁREA (ha)</t>
        </is>
      </c>
      <c r="G17" s="244" t="n"/>
      <c r="H17" s="282" t="inlineStr">
        <is>
          <t>% ÁREA</t>
        </is>
      </c>
      <c r="I17" s="244" t="n"/>
    </row>
    <row r="18">
      <c r="C18" s="285" t="inlineStr">
        <is>
          <t>Área de Vegetação Remanescente</t>
        </is>
      </c>
      <c r="D18" s="243" t="n"/>
      <c r="E18" s="244" t="n"/>
      <c r="F18" s="283">
        <f>AMOSTRAS!E11</f>
        <v/>
      </c>
      <c r="G18" s="244" t="n"/>
      <c r="H18" s="288">
        <f>AMOSTRAS!F11</f>
        <v/>
      </c>
      <c r="I18" s="244" t="n"/>
    </row>
    <row r="19">
      <c r="C19" s="285" t="inlineStr">
        <is>
          <t>Área De Reserva Legal e APP</t>
        </is>
      </c>
      <c r="D19" s="243" t="n"/>
      <c r="E19" s="244" t="n"/>
      <c r="F19" s="279">
        <f>AMOSTRAS!E12</f>
        <v/>
      </c>
      <c r="G19" s="244" t="n"/>
      <c r="H19" s="275">
        <f>F19/C6</f>
        <v/>
      </c>
      <c r="I19" s="244" t="n"/>
    </row>
    <row r="20">
      <c r="C20" s="289" t="inlineStr">
        <is>
          <t>SOMATÓRIA</t>
        </is>
      </c>
      <c r="D20" s="243" t="n"/>
      <c r="E20" s="244" t="n"/>
      <c r="F20" s="279">
        <f>SUM(F18:G19)</f>
        <v/>
      </c>
      <c r="G20" s="244" t="n"/>
      <c r="H20" s="275">
        <f>SUM(H18:I19)</f>
        <v/>
      </c>
      <c r="I20" s="244" t="n"/>
      <c r="J20" s="139" t="n"/>
    </row>
  </sheetData>
  <mergeCells count="44">
    <mergeCell ref="E12:F12"/>
    <mergeCell ref="G12:H12"/>
    <mergeCell ref="C6:D6"/>
    <mergeCell ref="I6:J6"/>
    <mergeCell ref="H20:I20"/>
    <mergeCell ref="F19:G19"/>
    <mergeCell ref="C5:D5"/>
    <mergeCell ref="G11:H11"/>
    <mergeCell ref="I11:J11"/>
    <mergeCell ref="E5:F5"/>
    <mergeCell ref="G8:H8"/>
    <mergeCell ref="E8:F8"/>
    <mergeCell ref="C4:J4"/>
    <mergeCell ref="F20:G20"/>
    <mergeCell ref="C10:J10"/>
    <mergeCell ref="F18:G18"/>
    <mergeCell ref="C17:E17"/>
    <mergeCell ref="E13:F13"/>
    <mergeCell ref="G6:H6"/>
    <mergeCell ref="C9:D9"/>
    <mergeCell ref="G13:H13"/>
    <mergeCell ref="E9:F9"/>
    <mergeCell ref="F17:G17"/>
    <mergeCell ref="H17:I17"/>
    <mergeCell ref="C12:D12"/>
    <mergeCell ref="I12:J12"/>
    <mergeCell ref="E6:F6"/>
    <mergeCell ref="C19:E19"/>
    <mergeCell ref="C11:D11"/>
    <mergeCell ref="E11:F11"/>
    <mergeCell ref="G5:H5"/>
    <mergeCell ref="C18:E18"/>
    <mergeCell ref="I5:J5"/>
    <mergeCell ref="H19:I19"/>
    <mergeCell ref="C16:I16"/>
    <mergeCell ref="I8:J8"/>
    <mergeCell ref="C8:D8"/>
    <mergeCell ref="C7:J7"/>
    <mergeCell ref="H18:I18"/>
    <mergeCell ref="C13:D13"/>
    <mergeCell ref="I13:J13"/>
    <mergeCell ref="G9:H9"/>
    <mergeCell ref="C20:E20"/>
    <mergeCell ref="I9:J9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N92"/>
  <sheetViews>
    <sheetView topLeftCell="A37" zoomScaleNormal="100" workbookViewId="0">
      <selection activeCell="K65" sqref="K65"/>
    </sheetView>
  </sheetViews>
  <sheetFormatPr baseColWidth="8" defaultColWidth="9.140625" defaultRowHeight="12.75"/>
  <cols>
    <col width="9.140625" customWidth="1" style="272" min="1" max="4"/>
    <col width="13.7109375" bestFit="1" customWidth="1" style="272" min="5" max="5"/>
    <col width="22.85546875" customWidth="1" style="272" min="6" max="6"/>
    <col width="13.7109375" customWidth="1" style="272" min="7" max="7"/>
    <col width="6.5703125" customWidth="1" style="272" min="8" max="8"/>
    <col width="12" customWidth="1" style="272" min="9" max="9"/>
    <col width="16.85546875" bestFit="1" customWidth="1" style="272" min="10" max="10"/>
    <col width="14.42578125" bestFit="1" customWidth="1" style="272" min="11" max="11"/>
    <col width="9.140625" customWidth="1" style="272" min="12" max="12"/>
    <col width="14.28515625" customWidth="1" style="272" min="13" max="13"/>
    <col width="14.42578125" customWidth="1" style="272" min="14" max="14"/>
    <col width="9.140625" customWidth="1" style="272" min="15" max="88"/>
    <col width="9.140625" customWidth="1" style="272" min="89" max="16384"/>
  </cols>
  <sheetData>
    <row r="3" ht="15" customHeight="1" s="236">
      <c r="B3" s="324" t="inlineStr">
        <is>
          <t xml:space="preserve">AVALIANDA </t>
        </is>
      </c>
      <c r="C3" s="238" t="n"/>
      <c r="D3" s="238" t="n"/>
      <c r="E3" s="238" t="n"/>
      <c r="F3" s="238" t="n"/>
      <c r="G3" s="238" t="n"/>
      <c r="H3" s="238" t="n"/>
      <c r="I3" s="239" t="n"/>
      <c r="L3" s="300" t="inlineStr">
        <is>
          <t>MÉDIA DAS AMOSTRAS</t>
        </is>
      </c>
      <c r="M3" s="244" t="n"/>
    </row>
    <row r="4" ht="15" customHeight="1" s="236">
      <c r="B4" s="148" t="n"/>
      <c r="C4" s="312" t="inlineStr">
        <is>
          <t>Proprietário(s):</t>
        </is>
      </c>
      <c r="D4" s="292" t="n"/>
      <c r="E4" s="315" t="inlineStr">
        <is>
          <t>Marcelo Daniel Fell</t>
        </is>
      </c>
      <c r="G4" s="299" t="inlineStr">
        <is>
          <t>Contato:</t>
        </is>
      </c>
      <c r="H4" s="325" t="inlineStr">
        <is>
          <t>(77) 99993-8091</t>
        </is>
      </c>
      <c r="I4" s="241" t="n"/>
      <c r="J4" s="130" t="n"/>
      <c r="L4" s="111" t="inlineStr">
        <is>
          <t>R$/ ha =</t>
        </is>
      </c>
      <c r="M4" s="167">
        <f>SUM(H19+H32+H45+H58+H71+H84)/6</f>
        <v/>
      </c>
    </row>
    <row r="5" ht="15" customHeight="1" s="236">
      <c r="B5" s="293" t="inlineStr">
        <is>
          <t>Localização do Imóvel:</t>
        </is>
      </c>
      <c r="E5" s="311" t="inlineStr">
        <is>
          <t>Almas - TO</t>
        </is>
      </c>
      <c r="G5" s="299" t="inlineStr">
        <is>
          <t>Situação:</t>
        </is>
      </c>
      <c r="H5" s="314" t="inlineStr">
        <is>
          <t>Muito Boa</t>
        </is>
      </c>
      <c r="I5" s="241" t="n"/>
      <c r="L5" s="111" t="inlineStr">
        <is>
          <t>Alq =</t>
        </is>
      </c>
      <c r="M5" s="167">
        <f>M4*4.84</f>
        <v/>
      </c>
    </row>
    <row r="6" ht="15" customHeight="1" s="236">
      <c r="B6" s="293" t="inlineStr">
        <is>
          <t>Área do Imóvel (ha):</t>
        </is>
      </c>
      <c r="E6" s="321" t="n">
        <v>569.0049</v>
      </c>
      <c r="G6" s="299" t="inlineStr">
        <is>
          <t>Benfeitoria:</t>
        </is>
      </c>
      <c r="H6" s="326" t="inlineStr">
        <is>
          <t>Sem Benfeitorias</t>
        </is>
      </c>
      <c r="I6" s="241" t="n"/>
    </row>
    <row r="7" ht="15" customHeight="1" s="236">
      <c r="B7" s="119" t="n"/>
      <c r="C7" s="299" t="inlineStr">
        <is>
          <t>Hidrografia:</t>
        </is>
      </c>
      <c r="E7" s="322" t="inlineStr">
        <is>
          <t>Normal</t>
        </is>
      </c>
      <c r="G7" s="299" t="inlineStr">
        <is>
          <t>Data:</t>
        </is>
      </c>
      <c r="H7" s="327">
        <f>TODAY()</f>
        <v/>
      </c>
      <c r="I7" s="241" t="n"/>
    </row>
    <row r="8" ht="15" customHeight="1" s="236">
      <c r="B8" s="119" t="n"/>
      <c r="C8" s="299" t="inlineStr">
        <is>
          <t>Matrícula:</t>
        </is>
      </c>
      <c r="E8" s="298" t="n">
        <v>5404</v>
      </c>
      <c r="G8" s="299" t="inlineStr">
        <is>
          <t>Outros:</t>
        </is>
      </c>
      <c r="H8" s="328" t="n"/>
      <c r="I8" s="241" t="n"/>
      <c r="J8" s="146" t="n"/>
      <c r="K8" s="146" t="n"/>
      <c r="L8" s="146" t="n"/>
      <c r="M8" s="146" t="n"/>
      <c r="N8" s="146" t="n"/>
    </row>
    <row r="9" ht="15" customHeight="1" s="236">
      <c r="B9" s="302" t="inlineStr">
        <is>
          <t>Nota Agronômica da Amostra</t>
        </is>
      </c>
      <c r="I9" s="241" t="n"/>
      <c r="J9" s="146" t="n"/>
      <c r="K9" s="146" t="n"/>
      <c r="L9" s="146" t="n"/>
      <c r="M9" s="146" t="n"/>
      <c r="N9" s="146" t="n"/>
    </row>
    <row r="10" ht="15" customHeight="1" s="236">
      <c r="B10" s="307" t="inlineStr">
        <is>
          <t>Classe de Solo</t>
        </is>
      </c>
      <c r="E10" s="297" t="inlineStr">
        <is>
          <t>Área (ha)</t>
        </is>
      </c>
      <c r="F10" s="297" t="inlineStr">
        <is>
          <t>% do Imóvel</t>
        </is>
      </c>
      <c r="G10" s="297" t="inlineStr">
        <is>
          <t>Nota Agronômica</t>
        </is>
      </c>
      <c r="I10" s="120" t="n"/>
      <c r="J10" s="146" t="n"/>
      <c r="K10" s="146" t="n"/>
      <c r="L10" s="146" t="n"/>
      <c r="M10" s="146" t="n"/>
      <c r="N10" s="146" t="n"/>
    </row>
    <row r="11" ht="15" customHeight="1" s="236">
      <c r="B11" s="158" t="n"/>
      <c r="C11" s="160" t="inlineStr">
        <is>
          <t>V</t>
        </is>
      </c>
      <c r="D11" s="159" t="n"/>
      <c r="E11" s="168">
        <f>E6-E12</f>
        <v/>
      </c>
      <c r="F11" s="121">
        <f>E11/E6</f>
        <v/>
      </c>
      <c r="G11" s="309" t="n">
        <v>0.9</v>
      </c>
      <c r="I11" s="120" t="n"/>
      <c r="J11" s="146" t="n"/>
      <c r="K11" s="169" t="n"/>
      <c r="L11" s="146" t="n"/>
      <c r="M11" s="146" t="n"/>
      <c r="N11" s="146" t="n"/>
    </row>
    <row r="12" ht="15" customHeight="1" s="236">
      <c r="B12" s="323" t="inlineStr">
        <is>
          <t>VIII</t>
        </is>
      </c>
      <c r="E12" s="170" t="n">
        <v>218.9</v>
      </c>
      <c r="F12" s="121">
        <f>E12/E6</f>
        <v/>
      </c>
      <c r="G12" s="309" t="n">
        <v>0.6</v>
      </c>
      <c r="I12" s="120" t="n"/>
      <c r="J12" s="146" t="n"/>
      <c r="K12" s="147" t="n"/>
      <c r="L12" s="147" t="n"/>
      <c r="M12" s="146" t="n"/>
      <c r="N12" s="146" t="n"/>
    </row>
    <row r="13" ht="15" customHeight="1" s="236">
      <c r="B13" s="317" t="inlineStr">
        <is>
          <t>SOMATÓRIA</t>
        </is>
      </c>
      <c r="C13" s="251" t="n"/>
      <c r="D13" s="251" t="n"/>
      <c r="E13" s="171">
        <f>SUM(E11:E12)</f>
        <v/>
      </c>
      <c r="F13" s="122">
        <f>SUM(F11:F12)</f>
        <v/>
      </c>
      <c r="G13" s="308">
        <f>F12*G12+F11*G11</f>
        <v/>
      </c>
      <c r="H13" s="251" t="n"/>
      <c r="I13" s="123" t="n"/>
      <c r="J13" s="172" t="n"/>
      <c r="K13" s="169" t="n"/>
      <c r="L13" s="146" t="n"/>
      <c r="M13" s="146" t="n"/>
      <c r="N13" s="146" t="n"/>
    </row>
    <row r="14" ht="15" customHeight="1" s="236"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46" t="n"/>
      <c r="K14" s="146" t="n"/>
      <c r="L14" s="146" t="n"/>
      <c r="M14" s="146" t="n"/>
      <c r="N14" s="146" t="n"/>
    </row>
    <row r="15" ht="15" customHeight="1" s="236">
      <c r="B15" s="294" t="inlineStr">
        <is>
          <t>Dado Amostral 01</t>
        </is>
      </c>
      <c r="K15" s="138" t="n"/>
    </row>
    <row r="16" ht="15" customHeight="1" s="236">
      <c r="B16" s="291" t="inlineStr">
        <is>
          <t>Proprietário / Informante:</t>
        </is>
      </c>
      <c r="C16" s="292" t="n"/>
      <c r="D16" s="292" t="n"/>
      <c r="E16" s="301" t="inlineStr">
        <is>
          <t>OLX</t>
        </is>
      </c>
      <c r="G16" s="299" t="inlineStr">
        <is>
          <t>Contato:</t>
        </is>
      </c>
      <c r="H16" s="296" t="inlineStr">
        <is>
          <t>(62) 4102-3282</t>
        </is>
      </c>
      <c r="I16" s="241" t="n"/>
      <c r="K16" s="149" t="n"/>
    </row>
    <row r="17" ht="15" customHeight="1" s="236">
      <c r="B17" s="293" t="inlineStr">
        <is>
          <t>Localização do Imóvel:</t>
        </is>
      </c>
      <c r="E17" s="301" t="inlineStr">
        <is>
          <t>Almas - TO</t>
        </is>
      </c>
      <c r="G17" s="299" t="inlineStr">
        <is>
          <t>Situação:</t>
        </is>
      </c>
      <c r="H17" s="304" t="inlineStr">
        <is>
          <t xml:space="preserve">Boa </t>
        </is>
      </c>
      <c r="I17" s="296" t="n"/>
      <c r="K17" s="150" t="n"/>
    </row>
    <row r="18" ht="15" customHeight="1" s="236">
      <c r="B18" s="293" t="inlineStr">
        <is>
          <t>Área do Imóvel (ha):</t>
        </is>
      </c>
      <c r="E18" s="318">
        <f>287 *4.84</f>
        <v/>
      </c>
      <c r="G18" s="299" t="inlineStr">
        <is>
          <t>Benfeitoria:</t>
        </is>
      </c>
      <c r="H18" s="314" t="inlineStr">
        <is>
          <t>Muito Abaixo da Média</t>
        </is>
      </c>
      <c r="I18" s="241" t="n"/>
      <c r="K18" s="150" t="n"/>
    </row>
    <row r="19" ht="15" customHeight="1" s="236">
      <c r="B19" s="151" t="n"/>
      <c r="C19" s="299" t="inlineStr">
        <is>
          <t>Valor venal:</t>
        </is>
      </c>
      <c r="E19" s="295" t="n">
        <v>12915000</v>
      </c>
      <c r="G19" s="299" t="inlineStr">
        <is>
          <t>Valor R$/ha:</t>
        </is>
      </c>
      <c r="H19" s="316">
        <f>E19/E18</f>
        <v/>
      </c>
      <c r="I19" s="241" t="n"/>
      <c r="J19" s="173">
        <f>H19*4.84</f>
        <v/>
      </c>
    </row>
    <row r="20" ht="15" customHeight="1" s="236">
      <c r="B20" s="152" t="n"/>
      <c r="C20" s="299" t="inlineStr">
        <is>
          <t>Negociação:</t>
        </is>
      </c>
      <c r="E20" s="301" t="inlineStr">
        <is>
          <t>Oferta</t>
        </is>
      </c>
      <c r="G20" s="299" t="inlineStr">
        <is>
          <t>Data:</t>
        </is>
      </c>
      <c r="H20" s="306" t="n">
        <v>45566</v>
      </c>
      <c r="I20" s="241" t="n"/>
      <c r="K20" s="157" t="n"/>
    </row>
    <row r="21" ht="15" customHeight="1" s="236">
      <c r="B21" s="152" t="n"/>
      <c r="C21" s="299" t="inlineStr">
        <is>
          <t>Hidrografia:</t>
        </is>
      </c>
      <c r="E21" s="329" t="inlineStr">
        <is>
          <t>Normal</t>
        </is>
      </c>
      <c r="G21" s="299" t="inlineStr">
        <is>
          <t>Outros:</t>
        </is>
      </c>
      <c r="H21" s="296" t="n"/>
      <c r="I21" s="241" t="n"/>
    </row>
    <row r="22" ht="15" customHeight="1" s="236">
      <c r="B22" s="302" t="inlineStr">
        <is>
          <t>Nota Agronômica da Amostra</t>
        </is>
      </c>
      <c r="I22" s="241" t="n"/>
    </row>
    <row r="23" ht="15" customHeight="1" s="236">
      <c r="B23" s="307" t="inlineStr">
        <is>
          <t>Classe de Solo</t>
        </is>
      </c>
      <c r="E23" s="297" t="inlineStr">
        <is>
          <t>Área (ha)</t>
        </is>
      </c>
      <c r="F23" s="297" t="inlineStr">
        <is>
          <t>% do Imóvel</t>
        </is>
      </c>
      <c r="G23" s="297" t="inlineStr">
        <is>
          <t>Nota Agronômica</t>
        </is>
      </c>
      <c r="I23" s="153" t="n"/>
    </row>
    <row r="24" ht="15" customHeight="1" s="236">
      <c r="B24" s="303" t="inlineStr">
        <is>
          <t>IV</t>
        </is>
      </c>
      <c r="E24" s="174">
        <f>E18*0.5</f>
        <v/>
      </c>
      <c r="F24" s="154">
        <f>E24/E18</f>
        <v/>
      </c>
      <c r="G24" s="310" t="n">
        <v>1</v>
      </c>
      <c r="I24" s="153" t="n"/>
    </row>
    <row r="25" ht="15" customHeight="1" s="236">
      <c r="B25" s="303" t="inlineStr">
        <is>
          <t>VIII</t>
        </is>
      </c>
      <c r="E25" s="175">
        <f>E18-E24</f>
        <v/>
      </c>
      <c r="F25" s="154">
        <f>E25/E18</f>
        <v/>
      </c>
      <c r="G25" s="310" t="n">
        <v>0.6</v>
      </c>
      <c r="I25" s="153" t="n"/>
    </row>
    <row r="26" ht="15" customHeight="1" s="236">
      <c r="B26" s="317" t="inlineStr">
        <is>
          <t>SOMATÓRIA</t>
        </is>
      </c>
      <c r="C26" s="251" t="n"/>
      <c r="D26" s="251" t="n"/>
      <c r="E26" s="308">
        <f>SUM(E24:E25)</f>
        <v/>
      </c>
      <c r="F26" s="122" t="n">
        <v>1</v>
      </c>
      <c r="G26" s="308" t="n">
        <v>0.7333333333333329</v>
      </c>
      <c r="H26" s="251" t="n"/>
      <c r="I26" s="155" t="n"/>
    </row>
    <row r="27" ht="15" customHeight="1" s="236">
      <c r="B27" s="156" t="n"/>
      <c r="C27" s="156" t="n"/>
      <c r="D27" s="156" t="n"/>
      <c r="E27" s="156" t="n"/>
      <c r="F27" s="156" t="n"/>
      <c r="G27" s="156" t="n"/>
      <c r="H27" s="156" t="n"/>
      <c r="I27" s="156" t="n"/>
    </row>
    <row r="28" ht="15" customHeight="1" s="236">
      <c r="B28" s="294" t="inlineStr">
        <is>
          <t>Dado Amostral 02</t>
        </is>
      </c>
    </row>
    <row r="29" ht="15" customHeight="1" s="236">
      <c r="B29" s="291" t="inlineStr">
        <is>
          <t>Proprietário / Informante:</t>
        </is>
      </c>
      <c r="C29" s="292" t="n"/>
      <c r="D29" s="292" t="n"/>
      <c r="E29" s="301" t="inlineStr">
        <is>
          <t>POINTER NEGOCIOS DE FAZENDAS</t>
        </is>
      </c>
      <c r="G29" s="299" t="inlineStr">
        <is>
          <t>Contato:</t>
        </is>
      </c>
      <c r="H29" s="296" t="inlineStr">
        <is>
          <t>(62) 4102-3282</t>
        </is>
      </c>
      <c r="I29" s="241" t="n"/>
      <c r="J29" s="129" t="n"/>
      <c r="K29" s="149" t="inlineStr">
        <is>
          <t>https://www.wimoveis.com.br/propriedades/fazenda-com-2-dormitorios-a-venda-40414000-m-sup2-2979429591.html</t>
        </is>
      </c>
    </row>
    <row r="30" ht="15" customHeight="1" s="236">
      <c r="B30" s="293" t="inlineStr">
        <is>
          <t>Localização do Imóvel:</t>
        </is>
      </c>
      <c r="E30" s="301" t="inlineStr">
        <is>
          <t>Almas - TO</t>
        </is>
      </c>
      <c r="G30" s="299" t="inlineStr">
        <is>
          <t>Situação:</t>
        </is>
      </c>
      <c r="H30" s="304" t="inlineStr">
        <is>
          <t xml:space="preserve">Boa </t>
        </is>
      </c>
      <c r="I30" s="296" t="n"/>
      <c r="K30" s="150" t="n"/>
    </row>
    <row r="31" ht="15" customHeight="1" s="236">
      <c r="B31" s="293" t="inlineStr">
        <is>
          <t>Área do Imóvel (ha):</t>
        </is>
      </c>
      <c r="E31" s="318" t="n">
        <v>4035</v>
      </c>
      <c r="G31" s="299" t="inlineStr">
        <is>
          <t>Benfeitoria:</t>
        </is>
      </c>
      <c r="H31" s="314" t="inlineStr">
        <is>
          <t>Muito Abaixo da Média</t>
        </is>
      </c>
      <c r="I31" s="241" t="n"/>
    </row>
    <row r="32" ht="15" customHeight="1" s="236">
      <c r="B32" s="151" t="n"/>
      <c r="C32" s="299" t="inlineStr">
        <is>
          <t>Valor venal:</t>
        </is>
      </c>
      <c r="E32" s="295" t="n">
        <v>37580000</v>
      </c>
      <c r="G32" s="299" t="inlineStr">
        <is>
          <t>Valor R$/ha:</t>
        </is>
      </c>
      <c r="H32" s="305">
        <f>E32/E31</f>
        <v/>
      </c>
      <c r="I32" s="241" t="n"/>
      <c r="J32" s="173">
        <f>H32*4.84</f>
        <v/>
      </c>
    </row>
    <row r="33" ht="15" customHeight="1" s="236">
      <c r="B33" s="152" t="n"/>
      <c r="C33" s="299" t="inlineStr">
        <is>
          <t>Negociação:</t>
        </is>
      </c>
      <c r="E33" s="301" t="inlineStr">
        <is>
          <t>Oferta</t>
        </is>
      </c>
      <c r="G33" s="299" t="inlineStr">
        <is>
          <t>Data:</t>
        </is>
      </c>
      <c r="H33" s="306">
        <f>H20</f>
        <v/>
      </c>
      <c r="I33" s="241" t="n"/>
    </row>
    <row r="34" ht="15" customHeight="1" s="236">
      <c r="B34" s="152" t="n"/>
      <c r="C34" s="299" t="inlineStr">
        <is>
          <t>Hidrografia:</t>
        </is>
      </c>
      <c r="E34" s="304" t="inlineStr">
        <is>
          <t>Ruim</t>
        </is>
      </c>
      <c r="G34" s="299" t="inlineStr">
        <is>
          <t>Outros:</t>
        </is>
      </c>
      <c r="H34" s="296" t="n"/>
      <c r="I34" s="241" t="n"/>
    </row>
    <row r="35" ht="15" customHeight="1" s="236">
      <c r="B35" s="302" t="inlineStr">
        <is>
          <t>Nota Agronômica da Amostra</t>
        </is>
      </c>
      <c r="I35" s="241" t="n"/>
    </row>
    <row r="36" ht="15" customHeight="1" s="236">
      <c r="B36" s="307" t="inlineStr">
        <is>
          <t>Classe de Solo</t>
        </is>
      </c>
      <c r="E36" s="297" t="inlineStr">
        <is>
          <t>Área (ha)</t>
        </is>
      </c>
      <c r="F36" s="297" t="inlineStr">
        <is>
          <t>% do Imóvel</t>
        </is>
      </c>
      <c r="G36" s="297" t="inlineStr">
        <is>
          <t>Nota Agronômica</t>
        </is>
      </c>
      <c r="I36" s="153" t="n"/>
    </row>
    <row r="37" ht="15" customHeight="1" s="236">
      <c r="B37" s="303" t="inlineStr">
        <is>
          <t>IV</t>
        </is>
      </c>
      <c r="E37" s="175" t="n">
        <v>275</v>
      </c>
      <c r="F37" s="154">
        <f>E37/E31</f>
        <v/>
      </c>
      <c r="G37" s="310" t="n">
        <v>1</v>
      </c>
      <c r="I37" s="153" t="n"/>
    </row>
    <row r="38" ht="15" customHeight="1" s="236">
      <c r="B38" s="303" t="inlineStr">
        <is>
          <t>VIII</t>
        </is>
      </c>
      <c r="E38" s="175" t="n">
        <v>3760</v>
      </c>
      <c r="F38" s="154">
        <f>E38/E31</f>
        <v/>
      </c>
      <c r="G38" s="310" t="n">
        <v>0.6</v>
      </c>
      <c r="I38" s="153" t="n"/>
    </row>
    <row r="39" ht="15" customHeight="1" s="236">
      <c r="B39" s="317" t="inlineStr">
        <is>
          <t>SOMATÓRIA</t>
        </is>
      </c>
      <c r="C39" s="251" t="n"/>
      <c r="D39" s="251" t="n"/>
      <c r="E39" s="171" t="n">
        <v>4035</v>
      </c>
      <c r="F39" s="122" t="n">
        <v>1</v>
      </c>
      <c r="G39" s="308" t="n">
        <v>0.6272614622057001</v>
      </c>
      <c r="H39" s="251" t="n"/>
      <c r="I39" s="155" t="n"/>
    </row>
    <row r="40" ht="15" customHeight="1" s="236">
      <c r="B40" s="156" t="n"/>
      <c r="C40" s="156" t="n"/>
      <c r="D40" s="156" t="n"/>
      <c r="E40" s="156" t="n"/>
      <c r="F40" s="156" t="n"/>
      <c r="G40" s="156" t="n"/>
      <c r="H40" s="156" t="n"/>
      <c r="I40" s="156" t="n"/>
    </row>
    <row r="41" ht="15" customHeight="1" s="236">
      <c r="B41" s="294" t="inlineStr">
        <is>
          <t>Dado Amostral 03</t>
        </is>
      </c>
      <c r="K41" s="138" t="inlineStr">
        <is>
          <t>https://www.wimoveis.com.br/propriedades/fazenda-a-venda-na-regiao-de-almas-to-2985494046.html</t>
        </is>
      </c>
    </row>
    <row r="42" ht="15" customHeight="1" s="236">
      <c r="B42" s="291" t="inlineStr">
        <is>
          <t>Proprietário / Informante:</t>
        </is>
      </c>
      <c r="C42" s="292" t="n"/>
      <c r="D42" s="292" t="n"/>
      <c r="E42" s="301" t="inlineStr">
        <is>
          <t>PARNAÍBA IMOVEIS</t>
        </is>
      </c>
      <c r="G42" s="299" t="inlineStr">
        <is>
          <t>Contato:</t>
        </is>
      </c>
      <c r="H42" s="296" t="inlineStr">
        <is>
          <t>(11) 41545889</t>
        </is>
      </c>
      <c r="I42" s="241" t="n"/>
      <c r="K42" s="149" t="n"/>
    </row>
    <row r="43" ht="15" customHeight="1" s="236">
      <c r="B43" s="293" t="inlineStr">
        <is>
          <t>Localização do Imóvel:</t>
        </is>
      </c>
      <c r="E43" s="301" t="inlineStr">
        <is>
          <t>Almas - TO</t>
        </is>
      </c>
      <c r="G43" s="299" t="inlineStr">
        <is>
          <t>Situação:</t>
        </is>
      </c>
      <c r="H43" s="290" t="inlineStr">
        <is>
          <t xml:space="preserve">Boa </t>
        </is>
      </c>
      <c r="I43" s="241" t="n"/>
      <c r="K43" s="150" t="n"/>
    </row>
    <row r="44" ht="15" customHeight="1" s="236">
      <c r="B44" s="293" t="inlineStr">
        <is>
          <t>Área do Imóvel (ha):</t>
        </is>
      </c>
      <c r="E44" s="318" t="n">
        <v>1326.16</v>
      </c>
      <c r="G44" s="299" t="inlineStr">
        <is>
          <t>Benfeitoria:</t>
        </is>
      </c>
      <c r="H44" s="314" t="inlineStr">
        <is>
          <t>Muito Abaixo da Média</t>
        </is>
      </c>
      <c r="I44" s="241" t="n"/>
    </row>
    <row r="45" ht="15" customHeight="1" s="236">
      <c r="B45" s="151" t="n"/>
      <c r="C45" s="299" t="inlineStr">
        <is>
          <t>Valor venal:</t>
        </is>
      </c>
      <c r="E45" s="295" t="n">
        <v>16400000</v>
      </c>
      <c r="G45" s="299" t="inlineStr">
        <is>
          <t>Valor R$/ha:</t>
        </is>
      </c>
      <c r="H45" s="305">
        <f>E45/E44</f>
        <v/>
      </c>
      <c r="I45" s="241" t="n"/>
      <c r="J45" s="173">
        <f>H45*4.84</f>
        <v/>
      </c>
    </row>
    <row r="46" ht="15" customHeight="1" s="236">
      <c r="B46" s="152" t="n"/>
      <c r="C46" s="299" t="inlineStr">
        <is>
          <t>Negociação:</t>
        </is>
      </c>
      <c r="E46" s="301" t="inlineStr">
        <is>
          <t>Oferta</t>
        </is>
      </c>
      <c r="G46" s="299" t="inlineStr">
        <is>
          <t>Data:</t>
        </is>
      </c>
      <c r="H46" s="306">
        <f>H33</f>
        <v/>
      </c>
      <c r="I46" s="241" t="n"/>
    </row>
    <row r="47" ht="15" customHeight="1" s="236">
      <c r="B47" s="152" t="n"/>
      <c r="C47" s="299" t="inlineStr">
        <is>
          <t>Hidrografia:</t>
        </is>
      </c>
      <c r="E47" s="301" t="inlineStr">
        <is>
          <t>Regular</t>
        </is>
      </c>
      <c r="G47" s="299" t="inlineStr">
        <is>
          <t>Outros:</t>
        </is>
      </c>
      <c r="H47" s="296" t="n"/>
      <c r="I47" s="241" t="n"/>
    </row>
    <row r="48" ht="15" customHeight="1" s="236">
      <c r="B48" s="302" t="inlineStr">
        <is>
          <t>Nota Agronômica da Amostra</t>
        </is>
      </c>
      <c r="I48" s="241" t="n"/>
    </row>
    <row r="49" ht="15" customHeight="1" s="236">
      <c r="B49" s="307" t="inlineStr">
        <is>
          <t>Classe de Solo</t>
        </is>
      </c>
      <c r="E49" s="297" t="inlineStr">
        <is>
          <t>Área (ha)</t>
        </is>
      </c>
      <c r="F49" s="297" t="inlineStr">
        <is>
          <t>% do Imóvel</t>
        </is>
      </c>
      <c r="G49" s="297" t="inlineStr">
        <is>
          <t>Nota Agronômica</t>
        </is>
      </c>
      <c r="I49" s="153" t="n"/>
    </row>
    <row r="50" ht="15" customHeight="1" s="236">
      <c r="B50" s="303" t="inlineStr">
        <is>
          <t>IV</t>
        </is>
      </c>
      <c r="E50" s="175" t="n">
        <v>300</v>
      </c>
      <c r="F50" s="154">
        <f>E50/E44</f>
        <v/>
      </c>
      <c r="G50" s="310" t="n">
        <v>1</v>
      </c>
      <c r="I50" s="153" t="n"/>
    </row>
    <row r="51" ht="15" customHeight="1" s="236">
      <c r="B51" s="303" t="inlineStr">
        <is>
          <t>VIII</t>
        </is>
      </c>
      <c r="E51" s="175" t="n">
        <v>1026.16</v>
      </c>
      <c r="F51" s="154">
        <f>E51/E44</f>
        <v/>
      </c>
      <c r="G51" s="310" t="n">
        <v>0.6</v>
      </c>
      <c r="I51" s="153" t="n"/>
    </row>
    <row r="52" ht="15" customHeight="1" s="236">
      <c r="B52" s="317" t="inlineStr">
        <is>
          <t>SOMATÓRIA</t>
        </is>
      </c>
      <c r="C52" s="251" t="n"/>
      <c r="D52" s="251" t="n"/>
      <c r="E52" s="171" t="n">
        <v>1326.16</v>
      </c>
      <c r="F52" s="122" t="n">
        <v>1</v>
      </c>
      <c r="G52" s="308" t="n">
        <v>0.6904868190866864</v>
      </c>
      <c r="H52" s="251" t="n"/>
      <c r="I52" s="155" t="n"/>
    </row>
    <row r="53" ht="15" customHeight="1" s="236">
      <c r="B53" s="156" t="n"/>
      <c r="C53" s="156" t="n"/>
      <c r="D53" s="156" t="n"/>
      <c r="E53" s="156" t="n"/>
      <c r="F53" s="156" t="n"/>
      <c r="G53" s="156" t="n"/>
      <c r="H53" s="156" t="n"/>
      <c r="I53" s="156" t="n"/>
    </row>
    <row r="54" ht="15" customHeight="1" s="236">
      <c r="B54" s="294" t="inlineStr">
        <is>
          <t>Dado Amostral 04</t>
        </is>
      </c>
    </row>
    <row r="55" ht="15" customHeight="1" s="236">
      <c r="B55" s="291" t="inlineStr">
        <is>
          <t>Proprietário / Informante:</t>
        </is>
      </c>
      <c r="C55" s="292" t="n"/>
      <c r="D55" s="292" t="n"/>
      <c r="E55" s="301" t="inlineStr">
        <is>
          <t xml:space="preserve">Wimoveis </t>
        </is>
      </c>
      <c r="G55" s="299" t="inlineStr">
        <is>
          <t>Contato:</t>
        </is>
      </c>
      <c r="H55" s="296" t="inlineStr">
        <is>
          <t>(63) 9 8588-7530</t>
        </is>
      </c>
      <c r="I55" s="241" t="n"/>
      <c r="K55" s="149" t="n"/>
    </row>
    <row r="56" ht="15" customHeight="1" s="236">
      <c r="B56" s="293" t="inlineStr">
        <is>
          <t>Localização do Imóvel:</t>
        </is>
      </c>
      <c r="E56" s="301" t="inlineStr">
        <is>
          <t xml:space="preserve">Dianópolis - TO </t>
        </is>
      </c>
      <c r="G56" s="299" t="inlineStr">
        <is>
          <t>Situação:</t>
        </is>
      </c>
      <c r="H56" s="290" t="inlineStr">
        <is>
          <t xml:space="preserve">Boa </t>
        </is>
      </c>
      <c r="I56" s="241" t="n"/>
      <c r="K56" s="149" t="inlineStr">
        <is>
          <t>https://www.wimoveis.com.br/propriedades/fazenda-dianopolis-tocantins-86-alqueires-2978510623.html</t>
        </is>
      </c>
    </row>
    <row r="57" ht="15" customHeight="1" s="236">
      <c r="B57" s="293" t="inlineStr">
        <is>
          <t>Área do Imóvel (ha):</t>
        </is>
      </c>
      <c r="E57" s="318" t="n">
        <v>416.27</v>
      </c>
      <c r="G57" s="299" t="inlineStr">
        <is>
          <t>Benfeitoria:</t>
        </is>
      </c>
      <c r="H57" s="314" t="inlineStr">
        <is>
          <t>Muito Abaixo da Média</t>
        </is>
      </c>
      <c r="I57" s="241" t="n"/>
      <c r="K57" s="150" t="n"/>
    </row>
    <row r="58" ht="15" customHeight="1" s="236">
      <c r="B58" s="151" t="n"/>
      <c r="C58" s="299" t="inlineStr">
        <is>
          <t>Valor venal:</t>
        </is>
      </c>
      <c r="E58" s="295" t="n">
        <v>10000000</v>
      </c>
      <c r="G58" s="299" t="inlineStr">
        <is>
          <t>Valor R$/ha:</t>
        </is>
      </c>
      <c r="H58" s="320">
        <f>E58/E57</f>
        <v/>
      </c>
      <c r="I58" s="241" t="n"/>
      <c r="J58" s="173">
        <f>H58*4.84</f>
        <v/>
      </c>
      <c r="K58" s="176" t="n"/>
    </row>
    <row r="59" ht="15" customHeight="1" s="236">
      <c r="B59" s="152" t="n"/>
      <c r="C59" s="299" t="inlineStr">
        <is>
          <t>Negociação:</t>
        </is>
      </c>
      <c r="E59" s="301" t="inlineStr">
        <is>
          <t>Oferta</t>
        </is>
      </c>
      <c r="G59" s="299" t="inlineStr">
        <is>
          <t>Data:</t>
        </is>
      </c>
      <c r="H59" s="306">
        <f>H46</f>
        <v/>
      </c>
      <c r="I59" s="241" t="n"/>
    </row>
    <row r="60" ht="15" customHeight="1" s="236">
      <c r="B60" s="152" t="n"/>
      <c r="C60" s="299" t="inlineStr">
        <is>
          <t>Hidrografia:</t>
        </is>
      </c>
      <c r="E60" s="301" t="inlineStr">
        <is>
          <t>Regular</t>
        </is>
      </c>
      <c r="G60" s="299" t="inlineStr">
        <is>
          <t>Outros:</t>
        </is>
      </c>
      <c r="H60" s="296" t="n"/>
      <c r="I60" s="241" t="n"/>
    </row>
    <row r="61" ht="15" customHeight="1" s="236">
      <c r="B61" s="302" t="inlineStr">
        <is>
          <t>Nota Agronômica da Amostra</t>
        </is>
      </c>
      <c r="I61" s="241" t="n"/>
    </row>
    <row r="62" ht="15" customHeight="1" s="236">
      <c r="B62" s="307" t="inlineStr">
        <is>
          <t>Classe de Solo</t>
        </is>
      </c>
      <c r="E62" s="297" t="inlineStr">
        <is>
          <t>Área (ha)</t>
        </is>
      </c>
      <c r="F62" s="297" t="inlineStr">
        <is>
          <t>% do Imóvel</t>
        </is>
      </c>
      <c r="G62" s="297" t="inlineStr">
        <is>
          <t>Nota Agronômica</t>
        </is>
      </c>
      <c r="I62" s="153" t="n"/>
    </row>
    <row r="63" ht="15" customHeight="1" s="236">
      <c r="B63" s="303" t="inlineStr">
        <is>
          <t>IV</t>
        </is>
      </c>
      <c r="E63" s="175">
        <f>E57*0.632141</f>
        <v/>
      </c>
      <c r="F63" s="154">
        <f>E63/E57</f>
        <v/>
      </c>
      <c r="G63" s="310" t="n">
        <v>1</v>
      </c>
      <c r="I63" s="153" t="n"/>
    </row>
    <row r="64" ht="15" customHeight="1" s="236">
      <c r="B64" s="303" t="inlineStr">
        <is>
          <t>VIII</t>
        </is>
      </c>
      <c r="E64" s="175">
        <f>E57-E63</f>
        <v/>
      </c>
      <c r="F64" s="154">
        <f>E64/E57</f>
        <v/>
      </c>
      <c r="G64" s="310" t="n">
        <v>0.6</v>
      </c>
      <c r="I64" s="153" t="n"/>
    </row>
    <row r="65" ht="15" customHeight="1" s="236">
      <c r="B65" s="317" t="inlineStr">
        <is>
          <t>SOMATÓRIA</t>
        </is>
      </c>
      <c r="C65" s="251" t="n"/>
      <c r="D65" s="251" t="n"/>
      <c r="E65" s="171" t="n">
        <v>416.27</v>
      </c>
      <c r="F65" s="122" t="n">
        <v>1</v>
      </c>
      <c r="G65" s="308" t="n">
        <v>0.8600000000000001</v>
      </c>
      <c r="H65" s="251" t="n"/>
      <c r="I65" s="155" t="n"/>
    </row>
    <row r="66" ht="15" customHeight="1" s="236">
      <c r="B66" s="156" t="n"/>
      <c r="C66" s="156" t="n"/>
      <c r="D66" s="156" t="n"/>
      <c r="E66" s="156" t="n"/>
      <c r="F66" s="156" t="n"/>
      <c r="G66" s="156" t="n"/>
      <c r="H66" s="156" t="n"/>
      <c r="I66" s="156" t="n"/>
    </row>
    <row r="67" ht="15" customHeight="1" s="236">
      <c r="B67" s="294" t="inlineStr">
        <is>
          <t>Dado Amostral 05</t>
        </is>
      </c>
    </row>
    <row r="68" ht="15" customHeight="1" s="236">
      <c r="B68" s="291" t="inlineStr">
        <is>
          <t>Proprietário / Informante:</t>
        </is>
      </c>
      <c r="C68" s="292" t="n"/>
      <c r="D68" s="292" t="n"/>
      <c r="E68" s="319" t="inlineStr">
        <is>
          <t>Inédita Fazendas</t>
        </is>
      </c>
      <c r="G68" s="299" t="inlineStr">
        <is>
          <t>Contato:</t>
        </is>
      </c>
      <c r="H68" s="313" t="inlineStr">
        <is>
          <t>(62) 98170-3282</t>
        </is>
      </c>
      <c r="I68" s="241" t="n"/>
      <c r="K68" s="149" t="inlineStr">
        <is>
          <t>https://www.zapimoveis.com.br/imovel/venda-fazenda-sitio-chacara-zona-rural-almas-to-2178000m2-id-2705465160/</t>
        </is>
      </c>
    </row>
    <row r="69" ht="15" customHeight="1" s="236">
      <c r="B69" s="293" t="inlineStr">
        <is>
          <t>Localização do Imóvel:</t>
        </is>
      </c>
      <c r="E69" s="301" t="inlineStr">
        <is>
          <t>Almas - TO</t>
        </is>
      </c>
      <c r="G69" s="299" t="inlineStr">
        <is>
          <t>Situação:</t>
        </is>
      </c>
      <c r="H69" s="290" t="inlineStr">
        <is>
          <t xml:space="preserve">Boa </t>
        </is>
      </c>
      <c r="I69" s="241" t="n"/>
      <c r="K69" s="272" t="inlineStr">
        <is>
          <t>*</t>
        </is>
      </c>
    </row>
    <row r="70" ht="15" customHeight="1" s="236">
      <c r="B70" s="293" t="inlineStr">
        <is>
          <t>Área do Imóvel (ha):</t>
        </is>
      </c>
      <c r="E70" s="318">
        <f>80*4.84</f>
        <v/>
      </c>
      <c r="G70" s="299" t="inlineStr">
        <is>
          <t>Benfeitoria:</t>
        </is>
      </c>
      <c r="H70" s="314" t="inlineStr">
        <is>
          <t>Muito Abaixo da Média</t>
        </is>
      </c>
      <c r="I70" s="241" t="n"/>
      <c r="K70" s="150" t="n"/>
    </row>
    <row r="71" ht="15" customHeight="1" s="236">
      <c r="B71" s="151" t="n"/>
      <c r="C71" s="299" t="inlineStr">
        <is>
          <t>Valor venal:</t>
        </is>
      </c>
      <c r="E71" s="295" t="n">
        <v>3800000</v>
      </c>
      <c r="G71" s="299" t="inlineStr">
        <is>
          <t>Valor R$/ha:</t>
        </is>
      </c>
      <c r="H71" s="305">
        <f>E71/E70</f>
        <v/>
      </c>
      <c r="I71" s="241" t="n"/>
      <c r="J71" s="173">
        <f>H71*4.84</f>
        <v/>
      </c>
    </row>
    <row r="72" ht="15" customHeight="1" s="236">
      <c r="B72" s="152" t="n"/>
      <c r="C72" s="299" t="inlineStr">
        <is>
          <t>Negociação:</t>
        </is>
      </c>
      <c r="E72" s="301" t="inlineStr">
        <is>
          <t>Oferta</t>
        </is>
      </c>
      <c r="G72" s="299" t="inlineStr">
        <is>
          <t>Data:</t>
        </is>
      </c>
      <c r="H72" s="306">
        <f>H59</f>
        <v/>
      </c>
      <c r="I72" s="241" t="n"/>
    </row>
    <row r="73" ht="15" customHeight="1" s="236">
      <c r="B73" s="152" t="n"/>
      <c r="C73" s="299" t="inlineStr">
        <is>
          <t>Hidrografia:</t>
        </is>
      </c>
      <c r="E73" s="301" t="inlineStr">
        <is>
          <t>Regular</t>
        </is>
      </c>
      <c r="G73" s="299" t="inlineStr">
        <is>
          <t>Outros:</t>
        </is>
      </c>
      <c r="H73" s="296" t="n"/>
      <c r="I73" s="241" t="n"/>
    </row>
    <row r="74" ht="15" customHeight="1" s="236">
      <c r="B74" s="302" t="inlineStr">
        <is>
          <t>Nota Agronômica da Amostra</t>
        </is>
      </c>
      <c r="I74" s="241" t="n"/>
    </row>
    <row r="75" ht="15" customHeight="1" s="236">
      <c r="B75" s="307" t="inlineStr">
        <is>
          <t>Classe de Solo</t>
        </is>
      </c>
      <c r="E75" s="297" t="inlineStr">
        <is>
          <t>Área (ha)</t>
        </is>
      </c>
      <c r="F75" s="297" t="inlineStr">
        <is>
          <t>% do Imóvel</t>
        </is>
      </c>
      <c r="G75" s="297" t="inlineStr">
        <is>
          <t>Nota Agronômica</t>
        </is>
      </c>
      <c r="I75" s="153" t="n"/>
    </row>
    <row r="76" ht="15" customHeight="1" s="236">
      <c r="B76" s="303" t="inlineStr">
        <is>
          <t>IV</t>
        </is>
      </c>
      <c r="E76" s="175">
        <f>E70*0.621345</f>
        <v/>
      </c>
      <c r="F76" s="154">
        <f>E76/E70</f>
        <v/>
      </c>
      <c r="G76" s="310" t="n">
        <v>1</v>
      </c>
      <c r="I76" s="153" t="n"/>
    </row>
    <row r="77" ht="15" customHeight="1" s="236">
      <c r="B77" s="303" t="inlineStr">
        <is>
          <t>VIII</t>
        </is>
      </c>
      <c r="E77" s="175">
        <f>E70-E76</f>
        <v/>
      </c>
      <c r="F77" s="154">
        <f>E77/E70</f>
        <v/>
      </c>
      <c r="G77" s="310" t="n">
        <v>0.6</v>
      </c>
      <c r="I77" s="153" t="n"/>
    </row>
    <row r="78" ht="15" customHeight="1" s="236">
      <c r="B78" s="317" t="inlineStr">
        <is>
          <t>SOMATÓRIA</t>
        </is>
      </c>
      <c r="C78" s="251" t="n"/>
      <c r="D78" s="251" t="n"/>
      <c r="E78" s="171" t="n">
        <v>1839</v>
      </c>
      <c r="F78" s="122" t="n">
        <v>0.9999999999999999</v>
      </c>
      <c r="G78" s="308" t="n">
        <v>0.8599999999999999</v>
      </c>
      <c r="H78" s="251" t="n"/>
      <c r="I78" s="155" t="n"/>
    </row>
    <row r="79" ht="15" customHeight="1" s="236">
      <c r="B79" s="156" t="n"/>
      <c r="C79" s="156" t="n"/>
      <c r="D79" s="156" t="n"/>
      <c r="E79" s="156" t="n"/>
      <c r="F79" s="156" t="n"/>
      <c r="G79" s="156" t="n"/>
      <c r="H79" s="156" t="n"/>
      <c r="I79" s="156" t="n"/>
    </row>
    <row r="80" ht="15" customHeight="1" s="236">
      <c r="B80" s="294" t="inlineStr">
        <is>
          <t>Dado Amostral 06</t>
        </is>
      </c>
    </row>
    <row r="81" ht="15" customHeight="1" s="236">
      <c r="B81" s="291" t="inlineStr">
        <is>
          <t>Proprietário / Informante:</t>
        </is>
      </c>
      <c r="C81" s="292" t="n"/>
      <c r="D81" s="292" t="n"/>
      <c r="E81" s="301" t="inlineStr">
        <is>
          <t xml:space="preserve">Viva Real </t>
        </is>
      </c>
      <c r="G81" s="299" t="inlineStr">
        <is>
          <t>Contato:</t>
        </is>
      </c>
      <c r="H81" s="296">
        <f>H68</f>
        <v/>
      </c>
      <c r="I81" s="241" t="n"/>
      <c r="K81" s="149" t="inlineStr">
        <is>
          <t>https://www.vivareal.com.br/imovel/fazenda---sitio-2-quartos-zona-rural-bairros-dianopolis-12600000m2-venda-RS75600000-id-2655532548/</t>
        </is>
      </c>
    </row>
    <row r="82" ht="15" customHeight="1" s="236">
      <c r="B82" s="293" t="inlineStr">
        <is>
          <t>Localização do Imóvel:</t>
        </is>
      </c>
      <c r="E82" s="301" t="inlineStr">
        <is>
          <t>Dianópolis - TO</t>
        </is>
      </c>
      <c r="G82" s="299" t="inlineStr">
        <is>
          <t>Situação:</t>
        </is>
      </c>
      <c r="H82" s="290" t="inlineStr">
        <is>
          <t>Boa</t>
        </is>
      </c>
      <c r="I82" s="241" t="n"/>
      <c r="K82" s="272" t="inlineStr">
        <is>
          <t>*</t>
        </is>
      </c>
    </row>
    <row r="83" ht="15" customHeight="1" s="236">
      <c r="B83" s="293" t="inlineStr">
        <is>
          <t>Área do Imóvel (ha):</t>
        </is>
      </c>
      <c r="E83" s="318" t="n">
        <v>6098.4</v>
      </c>
      <c r="G83" s="299" t="inlineStr">
        <is>
          <t>Benfeitoria:</t>
        </is>
      </c>
      <c r="H83" s="314" t="inlineStr">
        <is>
          <t>Muito Abaixo da Média</t>
        </is>
      </c>
      <c r="I83" s="241" t="n"/>
      <c r="K83" s="150" t="n"/>
    </row>
    <row r="84" ht="15" customHeight="1" s="236">
      <c r="B84" s="151" t="n"/>
      <c r="C84" s="299" t="inlineStr">
        <is>
          <t>Valor venal:</t>
        </is>
      </c>
      <c r="E84" s="295" t="n">
        <v>75600000</v>
      </c>
      <c r="G84" s="299" t="inlineStr">
        <is>
          <t>Valor R$/ha:</t>
        </is>
      </c>
      <c r="H84" s="305" t="n">
        <v>12396.69421487603</v>
      </c>
      <c r="I84" s="241" t="n"/>
      <c r="J84" s="173">
        <f>H84*4.84</f>
        <v/>
      </c>
    </row>
    <row r="85" ht="15" customHeight="1" s="236">
      <c r="B85" s="152" t="n"/>
      <c r="C85" s="299" t="inlineStr">
        <is>
          <t>Negociação:</t>
        </is>
      </c>
      <c r="E85" s="301" t="inlineStr">
        <is>
          <t>Oferta</t>
        </is>
      </c>
      <c r="G85" s="299" t="inlineStr">
        <is>
          <t>Data:</t>
        </is>
      </c>
      <c r="H85" s="306">
        <f>H72</f>
        <v/>
      </c>
      <c r="I85" s="241" t="n"/>
    </row>
    <row r="86" ht="15" customHeight="1" s="236">
      <c r="B86" s="152" t="n"/>
      <c r="C86" s="299" t="inlineStr">
        <is>
          <t>Hidrografia:</t>
        </is>
      </c>
      <c r="E86" s="304" t="inlineStr">
        <is>
          <t>Normal</t>
        </is>
      </c>
      <c r="G86" s="299" t="inlineStr">
        <is>
          <t>Outros:</t>
        </is>
      </c>
      <c r="H86" s="296" t="n"/>
      <c r="I86" s="241" t="n"/>
    </row>
    <row r="87" ht="15" customHeight="1" s="236">
      <c r="B87" s="302" t="inlineStr">
        <is>
          <t>Nota Agronômica da Amostra</t>
        </is>
      </c>
      <c r="I87" s="241" t="n"/>
    </row>
    <row r="88" ht="15" customHeight="1" s="236">
      <c r="B88" s="307" t="inlineStr">
        <is>
          <t>Classe de Solo</t>
        </is>
      </c>
      <c r="E88" s="297" t="inlineStr">
        <is>
          <t>Área (ha)</t>
        </is>
      </c>
      <c r="F88" s="297" t="inlineStr">
        <is>
          <t>% do Imóvel</t>
        </is>
      </c>
      <c r="G88" s="297" t="inlineStr">
        <is>
          <t>Nota Agronômica</t>
        </is>
      </c>
      <c r="I88" s="153" t="n"/>
    </row>
    <row r="89" ht="15" customHeight="1" s="236">
      <c r="B89" s="303" t="inlineStr">
        <is>
          <t>IV</t>
        </is>
      </c>
      <c r="E89" s="175">
        <f>E83*0.723145</f>
        <v/>
      </c>
      <c r="F89" s="154">
        <f>E89/E83</f>
        <v/>
      </c>
      <c r="G89" s="310" t="n">
        <v>1</v>
      </c>
      <c r="I89" s="153" t="n"/>
    </row>
    <row r="90" ht="15" customHeight="1" s="236">
      <c r="B90" s="303" t="inlineStr">
        <is>
          <t>VIII</t>
        </is>
      </c>
      <c r="E90" s="175">
        <f>E83-E89</f>
        <v/>
      </c>
      <c r="F90" s="154">
        <f>E90/E83</f>
        <v/>
      </c>
      <c r="G90" s="310" t="n">
        <v>0.6</v>
      </c>
      <c r="I90" s="153" t="n"/>
      <c r="L90" s="141" t="n"/>
    </row>
    <row r="91" ht="15" customHeight="1" s="236">
      <c r="B91" s="317" t="inlineStr">
        <is>
          <t>SOMATÓRIA</t>
        </is>
      </c>
      <c r="C91" s="251" t="n"/>
      <c r="D91" s="251" t="n"/>
      <c r="E91" s="171" t="n">
        <v>6098.4</v>
      </c>
      <c r="F91" s="122" t="n">
        <v>1</v>
      </c>
      <c r="G91" s="308" t="n">
        <v>0.86</v>
      </c>
      <c r="H91" s="251" t="n"/>
      <c r="I91" s="155" t="n"/>
      <c r="L91" s="141" t="n"/>
    </row>
    <row r="92" ht="15" customHeight="1" s="236">
      <c r="B92" s="124" t="n"/>
      <c r="C92" s="124" t="n"/>
      <c r="D92" s="124" t="n"/>
      <c r="E92" s="124" t="n"/>
      <c r="F92" s="124" t="n"/>
      <c r="G92" s="124" t="n"/>
      <c r="H92" s="124" t="n"/>
      <c r="I92" s="124" t="n"/>
      <c r="K92" s="141">
        <f>60*4.84</f>
        <v/>
      </c>
      <c r="L92" s="141" t="n"/>
    </row>
  </sheetData>
  <mergeCells count="191">
    <mergeCell ref="H82:I82"/>
    <mergeCell ref="B42:D42"/>
    <mergeCell ref="B57:D57"/>
    <mergeCell ref="B54:I54"/>
    <mergeCell ref="E71:F71"/>
    <mergeCell ref="B44:D44"/>
    <mergeCell ref="H55:I55"/>
    <mergeCell ref="G23:H23"/>
    <mergeCell ref="E8:F8"/>
    <mergeCell ref="C73:D73"/>
    <mergeCell ref="L3:M3"/>
    <mergeCell ref="E73:F73"/>
    <mergeCell ref="B48:I48"/>
    <mergeCell ref="B37:D37"/>
    <mergeCell ref="B30:D30"/>
    <mergeCell ref="B6:D6"/>
    <mergeCell ref="E34:F34"/>
    <mergeCell ref="H45:I45"/>
    <mergeCell ref="H72:I72"/>
    <mergeCell ref="H81:I81"/>
    <mergeCell ref="B62:D62"/>
    <mergeCell ref="B9:I9"/>
    <mergeCell ref="B74:I74"/>
    <mergeCell ref="G91:H91"/>
    <mergeCell ref="E85:F85"/>
    <mergeCell ref="C19:D19"/>
    <mergeCell ref="H71:I71"/>
    <mergeCell ref="B56:D56"/>
    <mergeCell ref="B70:D70"/>
    <mergeCell ref="G75:H75"/>
    <mergeCell ref="B43:D43"/>
    <mergeCell ref="G12:H12"/>
    <mergeCell ref="G77:H77"/>
    <mergeCell ref="E55:F55"/>
    <mergeCell ref="B17:D17"/>
    <mergeCell ref="E5:F5"/>
    <mergeCell ref="B88:D88"/>
    <mergeCell ref="C45:D45"/>
    <mergeCell ref="B22:I22"/>
    <mergeCell ref="B82:D82"/>
    <mergeCell ref="C4:D4"/>
    <mergeCell ref="H56:I56"/>
    <mergeCell ref="H68:I68"/>
    <mergeCell ref="H83:I83"/>
    <mergeCell ref="H34:I34"/>
    <mergeCell ref="B10:D10"/>
    <mergeCell ref="E4:F4"/>
    <mergeCell ref="C47:D47"/>
    <mergeCell ref="G38:H38"/>
    <mergeCell ref="B68:D68"/>
    <mergeCell ref="B83:D83"/>
    <mergeCell ref="G62:H62"/>
    <mergeCell ref="H85:I85"/>
    <mergeCell ref="G49:H49"/>
    <mergeCell ref="H69:I69"/>
    <mergeCell ref="B5:D5"/>
    <mergeCell ref="B36:D36"/>
    <mergeCell ref="B76:D76"/>
    <mergeCell ref="C60:D60"/>
    <mergeCell ref="G24:H24"/>
    <mergeCell ref="B87:I87"/>
    <mergeCell ref="C71:D71"/>
    <mergeCell ref="G65:H65"/>
    <mergeCell ref="H19:I19"/>
    <mergeCell ref="B75:D75"/>
    <mergeCell ref="G88:H88"/>
    <mergeCell ref="G26:H26"/>
    <mergeCell ref="C8:D8"/>
    <mergeCell ref="E16:F16"/>
    <mergeCell ref="B31:D31"/>
    <mergeCell ref="G76:H76"/>
    <mergeCell ref="G25:H25"/>
    <mergeCell ref="G90:H90"/>
    <mergeCell ref="H5:I5"/>
    <mergeCell ref="B41:I41"/>
    <mergeCell ref="B39:D39"/>
    <mergeCell ref="E18:F18"/>
    <mergeCell ref="E58:F58"/>
    <mergeCell ref="B35:I35"/>
    <mergeCell ref="C34:D34"/>
    <mergeCell ref="C86:D86"/>
    <mergeCell ref="E68:F68"/>
    <mergeCell ref="B23:D23"/>
    <mergeCell ref="H43:I43"/>
    <mergeCell ref="G11:H11"/>
    <mergeCell ref="C58:D58"/>
    <mergeCell ref="B13:D13"/>
    <mergeCell ref="E83:F83"/>
    <mergeCell ref="B78:D78"/>
    <mergeCell ref="H31:I31"/>
    <mergeCell ref="H58:I58"/>
    <mergeCell ref="E44:F44"/>
    <mergeCell ref="G39:H39"/>
    <mergeCell ref="C20:D20"/>
    <mergeCell ref="E20:F20"/>
    <mergeCell ref="H21:I21"/>
    <mergeCell ref="C85:D85"/>
    <mergeCell ref="H73:I73"/>
    <mergeCell ref="E29:F29"/>
    <mergeCell ref="H60:I60"/>
    <mergeCell ref="B49:D49"/>
    <mergeCell ref="G37:H37"/>
    <mergeCell ref="C84:D84"/>
    <mergeCell ref="E69:F69"/>
    <mergeCell ref="E84:F84"/>
    <mergeCell ref="G13:H13"/>
    <mergeCell ref="B65:D65"/>
    <mergeCell ref="B61:I61"/>
    <mergeCell ref="B67:I67"/>
    <mergeCell ref="G78:H78"/>
    <mergeCell ref="B51:D51"/>
    <mergeCell ref="E31:F31"/>
    <mergeCell ref="C59:D59"/>
    <mergeCell ref="E59:F59"/>
    <mergeCell ref="E6:F6"/>
    <mergeCell ref="C46:D46"/>
    <mergeCell ref="C21:D21"/>
    <mergeCell ref="E46:F46"/>
    <mergeCell ref="B63:D63"/>
    <mergeCell ref="E86:F86"/>
    <mergeCell ref="H16:I16"/>
    <mergeCell ref="B50:D50"/>
    <mergeCell ref="H57:I57"/>
    <mergeCell ref="G89:H89"/>
    <mergeCell ref="H84:I84"/>
    <mergeCell ref="B91:D91"/>
    <mergeCell ref="E70:F70"/>
    <mergeCell ref="B25:D25"/>
    <mergeCell ref="G64:H64"/>
    <mergeCell ref="E57:F57"/>
    <mergeCell ref="G51:H51"/>
    <mergeCell ref="C32:D32"/>
    <mergeCell ref="C7:D7"/>
    <mergeCell ref="B15:I15"/>
    <mergeCell ref="E32:F32"/>
    <mergeCell ref="H86:I86"/>
    <mergeCell ref="E72:F72"/>
    <mergeCell ref="E7:F7"/>
    <mergeCell ref="H42:I42"/>
    <mergeCell ref="G63:H63"/>
    <mergeCell ref="E81:F81"/>
    <mergeCell ref="G50:H50"/>
    <mergeCell ref="B12:D12"/>
    <mergeCell ref="B77:D77"/>
    <mergeCell ref="E56:F56"/>
    <mergeCell ref="E43:F43"/>
    <mergeCell ref="H20:I20"/>
    <mergeCell ref="G52:H52"/>
    <mergeCell ref="H29:I29"/>
    <mergeCell ref="C33:D33"/>
    <mergeCell ref="E33:F33"/>
    <mergeCell ref="E42:F42"/>
    <mergeCell ref="B3:I3"/>
    <mergeCell ref="G36:H36"/>
    <mergeCell ref="H4:I4"/>
    <mergeCell ref="H44:I44"/>
    <mergeCell ref="E17:F17"/>
    <mergeCell ref="B69:D69"/>
    <mergeCell ref="B29:D29"/>
    <mergeCell ref="B38:D38"/>
    <mergeCell ref="E82:F82"/>
    <mergeCell ref="H59:I59"/>
    <mergeCell ref="H6:I6"/>
    <mergeCell ref="H46:I46"/>
    <mergeCell ref="G10:H10"/>
    <mergeCell ref="E19:F19"/>
    <mergeCell ref="E60:F60"/>
    <mergeCell ref="B55:D55"/>
    <mergeCell ref="H70:I70"/>
    <mergeCell ref="B24:D24"/>
    <mergeCell ref="B64:D64"/>
    <mergeCell ref="B89:D89"/>
    <mergeCell ref="E30:F30"/>
    <mergeCell ref="H32:I32"/>
    <mergeCell ref="H7:I7"/>
    <mergeCell ref="B28:I28"/>
    <mergeCell ref="E45:F45"/>
    <mergeCell ref="B26:D26"/>
    <mergeCell ref="H47:I47"/>
    <mergeCell ref="B16:D16"/>
    <mergeCell ref="B81:D81"/>
    <mergeCell ref="B90:D90"/>
    <mergeCell ref="C72:D72"/>
    <mergeCell ref="H18:I18"/>
    <mergeCell ref="H33:I33"/>
    <mergeCell ref="B18:D18"/>
    <mergeCell ref="B80:I80"/>
    <mergeCell ref="B52:D52"/>
    <mergeCell ref="H8:I8"/>
    <mergeCell ref="E47:F47"/>
    <mergeCell ref="E21:F21"/>
  </mergeCells>
  <hyperlinks>
    <hyperlink xmlns:r="http://schemas.openxmlformats.org/officeDocument/2006/relationships" ref="K29" r:id="rId1"/>
    <hyperlink xmlns:r="http://schemas.openxmlformats.org/officeDocument/2006/relationships" ref="K41" r:id="rId2"/>
    <hyperlink xmlns:r="http://schemas.openxmlformats.org/officeDocument/2006/relationships" ref="K56" r:id="rId3"/>
    <hyperlink xmlns:r="http://schemas.openxmlformats.org/officeDocument/2006/relationships" ref="K81" r:id="rId4"/>
  </hyperlinks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M9"/>
  <sheetViews>
    <sheetView zoomScaleNormal="100" workbookViewId="0">
      <selection activeCell="G17" sqref="G17"/>
    </sheetView>
  </sheetViews>
  <sheetFormatPr baseColWidth="8" defaultColWidth="9.140625" defaultRowHeight="12.75"/>
  <cols>
    <col width="9.140625" customWidth="1" style="272" min="1" max="1"/>
    <col width="12" bestFit="1" customWidth="1" style="272" min="2" max="2"/>
    <col width="11.42578125" bestFit="1" customWidth="1" style="272" min="3" max="3"/>
    <col width="17.42578125" bestFit="1" customWidth="1" style="272" min="4" max="4"/>
    <col width="11.28515625" bestFit="1" customWidth="1" style="272" min="5" max="5"/>
    <col width="8.42578125" bestFit="1" customWidth="1" style="272" min="6" max="6"/>
    <col width="10.7109375" customWidth="1" style="272" min="7" max="7"/>
    <col width="11.85546875" bestFit="1" customWidth="1" style="272" min="8" max="8"/>
    <col width="11.7109375" bestFit="1" customWidth="1" style="272" min="9" max="9"/>
    <col width="10.7109375" customWidth="1" style="272" min="10" max="10"/>
    <col width="30.7109375" customWidth="1" style="272" min="11" max="11"/>
    <col width="17.42578125" bestFit="1" customWidth="1" style="272" min="12" max="12"/>
    <col width="9.140625" customWidth="1" style="272" min="13" max="86"/>
    <col width="9.140625" customWidth="1" style="272" min="87" max="16384"/>
  </cols>
  <sheetData>
    <row r="3" ht="13.5" customHeight="1" s="236">
      <c r="B3" s="281" t="inlineStr">
        <is>
          <t>ELEMENTO</t>
        </is>
      </c>
      <c r="C3" s="281" t="inlineStr">
        <is>
          <t>ÁREA (ha)</t>
        </is>
      </c>
      <c r="D3" s="125" t="inlineStr">
        <is>
          <t>VT (R$)</t>
        </is>
      </c>
      <c r="E3" s="281" t="inlineStr">
        <is>
          <t>VT(R$/ha)</t>
        </is>
      </c>
      <c r="F3" s="125" t="inlineStr">
        <is>
          <t xml:space="preserve">CLASSE </t>
        </is>
      </c>
      <c r="G3" s="281" t="inlineStr">
        <is>
          <t>SITUAÇÃO</t>
        </is>
      </c>
      <c r="H3" s="125" t="inlineStr">
        <is>
          <t>BENFEITORIAS</t>
        </is>
      </c>
      <c r="I3" s="125" t="inlineStr">
        <is>
          <t>HIDROGRAFIA</t>
        </is>
      </c>
      <c r="J3" s="281" t="inlineStr">
        <is>
          <t>FONTE</t>
        </is>
      </c>
      <c r="K3" s="125" t="inlineStr">
        <is>
          <t>INFORMANTE</t>
        </is>
      </c>
      <c r="L3" s="145" t="inlineStr">
        <is>
          <t>CONTATO</t>
        </is>
      </c>
    </row>
    <row r="4">
      <c r="B4" s="277" t="n">
        <v>1</v>
      </c>
      <c r="C4" s="177">
        <f>AMOSTRAS!E18</f>
        <v/>
      </c>
      <c r="D4" s="410">
        <f>AMOSTRAS!E19</f>
        <v/>
      </c>
      <c r="E4" s="410">
        <f>D4/C4</f>
        <v/>
      </c>
      <c r="F4" s="178">
        <f>AMOSTRAS!G26</f>
        <v/>
      </c>
      <c r="G4" s="128" t="n">
        <v>1</v>
      </c>
      <c r="H4" s="128" t="n">
        <v>0.8</v>
      </c>
      <c r="I4" s="128" t="n">
        <v>1</v>
      </c>
      <c r="J4" s="128" t="n">
        <v>0.9</v>
      </c>
      <c r="K4" s="144">
        <f>AMOSTRAS!E16</f>
        <v/>
      </c>
      <c r="L4" s="274">
        <f>AMOSTRAS!H16</f>
        <v/>
      </c>
      <c r="M4" s="140" t="n"/>
    </row>
    <row r="5">
      <c r="B5" s="277" t="n">
        <v>2</v>
      </c>
      <c r="C5" s="177">
        <f>AMOSTRAS!E31</f>
        <v/>
      </c>
      <c r="D5" s="410">
        <f>AMOSTRAS!E32</f>
        <v/>
      </c>
      <c r="E5" s="410">
        <f>D5/C5</f>
        <v/>
      </c>
      <c r="F5" s="178">
        <f>AMOSTRAS!G39</f>
        <v/>
      </c>
      <c r="G5" s="128" t="n">
        <v>1</v>
      </c>
      <c r="H5" s="128" t="n">
        <v>0.8</v>
      </c>
      <c r="I5" s="128" t="n">
        <v>1</v>
      </c>
      <c r="J5" s="128" t="n">
        <v>0.9</v>
      </c>
      <c r="K5" s="144">
        <f>AMOSTRAS!E29</f>
        <v/>
      </c>
      <c r="L5" s="274">
        <f>AMOSTRAS!H29</f>
        <v/>
      </c>
      <c r="M5" s="140" t="n"/>
    </row>
    <row r="6">
      <c r="B6" s="277" t="n">
        <v>3</v>
      </c>
      <c r="C6" s="177">
        <f>AMOSTRAS!E44</f>
        <v/>
      </c>
      <c r="D6" s="410">
        <f>AMOSTRAS!E45</f>
        <v/>
      </c>
      <c r="E6" s="410">
        <f>D6/C6</f>
        <v/>
      </c>
      <c r="F6" s="178">
        <f>AMOSTRAS!G52</f>
        <v/>
      </c>
      <c r="G6" s="128" t="n">
        <v>1</v>
      </c>
      <c r="H6" s="128" t="n">
        <v>0.8</v>
      </c>
      <c r="I6" s="128" t="n">
        <v>1</v>
      </c>
      <c r="J6" s="128" t="n">
        <v>0.9</v>
      </c>
      <c r="K6" s="144">
        <f>AMOSTRAS!E42</f>
        <v/>
      </c>
      <c r="L6" s="274">
        <f>AMOSTRAS!H42</f>
        <v/>
      </c>
      <c r="M6" s="140" t="n"/>
    </row>
    <row r="7">
      <c r="B7" s="277" t="n">
        <v>4</v>
      </c>
      <c r="C7" s="177">
        <f>AMOSTRAS!E57</f>
        <v/>
      </c>
      <c r="D7" s="410">
        <f>AMOSTRAS!E58</f>
        <v/>
      </c>
      <c r="E7" s="410">
        <f>D7/C7</f>
        <v/>
      </c>
      <c r="F7" s="178">
        <f>AMOSTRAS!G65</f>
        <v/>
      </c>
      <c r="G7" s="128" t="n">
        <v>1</v>
      </c>
      <c r="H7" s="128" t="n">
        <v>0.8</v>
      </c>
      <c r="I7" s="128" t="n">
        <v>1</v>
      </c>
      <c r="J7" s="128" t="n">
        <v>0.9</v>
      </c>
      <c r="K7" s="144">
        <f>AMOSTRAS!E55</f>
        <v/>
      </c>
      <c r="L7" s="274">
        <f>AMOSTRAS!H55</f>
        <v/>
      </c>
      <c r="M7" s="140" t="n"/>
    </row>
    <row r="8">
      <c r="B8" s="277" t="n">
        <v>5</v>
      </c>
      <c r="C8" s="177">
        <f>AMOSTRAS!E70</f>
        <v/>
      </c>
      <c r="D8" s="410">
        <f>AMOSTRAS!E71</f>
        <v/>
      </c>
      <c r="E8" s="410">
        <f>D8/C8</f>
        <v/>
      </c>
      <c r="F8" s="178">
        <f>AMOSTRAS!G78</f>
        <v/>
      </c>
      <c r="G8" s="128" t="n">
        <v>1</v>
      </c>
      <c r="H8" s="128" t="n">
        <v>0.8</v>
      </c>
      <c r="I8" s="128" t="n">
        <v>1</v>
      </c>
      <c r="J8" s="128" t="n">
        <v>0.9</v>
      </c>
      <c r="K8" s="144">
        <f>AMOSTRAS!E68</f>
        <v/>
      </c>
      <c r="L8" s="274">
        <f>AMOSTRAS!H68</f>
        <v/>
      </c>
      <c r="M8" s="140" t="n"/>
    </row>
    <row r="9">
      <c r="B9" s="277" t="n">
        <v>6</v>
      </c>
      <c r="C9" s="177">
        <f>AMOSTRAS!E83</f>
        <v/>
      </c>
      <c r="D9" s="410">
        <f>AMOSTRAS!E84</f>
        <v/>
      </c>
      <c r="E9" s="410">
        <f>D9/C9</f>
        <v/>
      </c>
      <c r="F9" s="178">
        <f>AMOSTRAS!G91</f>
        <v/>
      </c>
      <c r="G9" s="128" t="n">
        <v>1</v>
      </c>
      <c r="H9" s="128" t="n">
        <v>0.8</v>
      </c>
      <c r="I9" s="128" t="n">
        <v>1</v>
      </c>
      <c r="J9" s="128" t="n">
        <v>0.9</v>
      </c>
      <c r="K9" s="144">
        <f>AMOSTRAS!E81</f>
        <v/>
      </c>
      <c r="L9" s="274">
        <f>AMOSTRAS!H81</f>
        <v/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showGridLines="0" topLeftCell="D4" zoomScale="85" zoomScaleNormal="85" zoomScaleSheetLayoutView="100" workbookViewId="0">
      <selection activeCell="Q24" sqref="Q24"/>
    </sheetView>
  </sheetViews>
  <sheetFormatPr baseColWidth="8" defaultColWidth="9.140625" defaultRowHeight="12.75"/>
  <cols>
    <col width="11.42578125" customWidth="1" style="331" min="1" max="1"/>
    <col width="28.140625" customWidth="1" style="331" min="2" max="2"/>
    <col width="22.140625" customWidth="1" style="331" min="3" max="3"/>
    <col width="19.42578125" bestFit="1" customWidth="1" style="331" min="4" max="4"/>
    <col width="14" customWidth="1" style="331" min="5" max="5"/>
    <col width="19.7109375" bestFit="1" customWidth="1" style="331" min="6" max="6"/>
    <col width="9.7109375" customWidth="1" style="331" min="7" max="7"/>
    <col width="11.5703125" customWidth="1" style="331" min="8" max="8"/>
    <col width="9.85546875" customWidth="1" style="331" min="9" max="9"/>
    <col width="10" bestFit="1" customWidth="1" style="331" min="10" max="10"/>
    <col width="9.7109375" bestFit="1" customWidth="1" style="331" min="11" max="11"/>
    <col width="12.140625" customWidth="1" style="331" min="12" max="12"/>
    <col width="10.85546875" bestFit="1" customWidth="1" style="331" min="13" max="14"/>
    <col width="11.85546875" bestFit="1" customWidth="1" style="331" min="15" max="15"/>
    <col width="20.7109375" customWidth="1" style="331" min="16" max="16"/>
    <col width="19.140625" bestFit="1" customWidth="1" style="331" min="17" max="17"/>
    <col width="15.85546875" bestFit="1" customWidth="1" style="331" min="18" max="18"/>
    <col width="9.140625" customWidth="1" style="331" min="19" max="92"/>
    <col width="9.140625" customWidth="1" style="331" min="93" max="16384"/>
  </cols>
  <sheetData>
    <row r="1" ht="15" customHeight="1" s="236">
      <c r="E1" s="336" t="n"/>
    </row>
    <row r="2" ht="13.5" customHeight="1" s="236" thickBot="1"/>
    <row r="3" ht="45" customHeight="1" s="236">
      <c r="A3" s="93" t="inlineStr">
        <is>
          <t>Elemento</t>
        </is>
      </c>
      <c r="B3" s="94" t="inlineStr">
        <is>
          <t>Municipio</t>
        </is>
      </c>
      <c r="C3" s="94" t="inlineStr">
        <is>
          <t>Imóvel</t>
        </is>
      </c>
      <c r="D3" s="94" t="inlineStr">
        <is>
          <t xml:space="preserve">Valor do Imóvel R$ </t>
        </is>
      </c>
      <c r="E3" s="94" t="inlineStr">
        <is>
          <t>Área Total Do Imóvel (ha)</t>
        </is>
      </c>
      <c r="F3" s="94" t="inlineStr">
        <is>
          <t>Valor por hectare (R$/ha)</t>
        </is>
      </c>
      <c r="G3" s="94" t="inlineStr">
        <is>
          <t>CCU do Elemento</t>
        </is>
      </c>
      <c r="H3" s="94" t="inlineStr">
        <is>
          <t>CCU Indexado 1</t>
        </is>
      </c>
      <c r="I3" s="94" t="inlineStr">
        <is>
          <t>Situação Elemento</t>
        </is>
      </c>
      <c r="J3" s="94" t="inlineStr">
        <is>
          <t>Situação Indexado²</t>
        </is>
      </c>
      <c r="K3" s="94" t="inlineStr">
        <is>
          <t>Benfeitorias</t>
        </is>
      </c>
      <c r="L3" s="94" t="inlineStr">
        <is>
          <t>Benfeitorias Indexado³</t>
        </is>
      </c>
      <c r="M3" s="95" t="inlineStr">
        <is>
          <t>Hidrografia Elemento</t>
        </is>
      </c>
      <c r="N3" s="95" t="inlineStr">
        <is>
          <t>Hidrografia Indexado 4</t>
        </is>
      </c>
      <c r="O3" s="94" t="inlineStr">
        <is>
          <t>Fator Oferta Elemento</t>
        </is>
      </c>
      <c r="P3" s="94" t="inlineStr">
        <is>
          <t>Fator Homogeneização Total (FHT) 6</t>
        </is>
      </c>
      <c r="Q3" s="94" t="inlineStr">
        <is>
          <t>VT/ha homogeneizado 7</t>
        </is>
      </c>
      <c r="R3" s="96" t="inlineStr">
        <is>
          <t>Amostra Saneada</t>
        </is>
      </c>
    </row>
    <row r="4" ht="15" customHeight="1" s="236">
      <c r="A4" s="97" t="n">
        <v>1</v>
      </c>
      <c r="B4" s="98">
        <f>AMOSTRAS!E17</f>
        <v/>
      </c>
      <c r="C4" s="98" t="inlineStr">
        <is>
          <t>Imóvel 1</t>
        </is>
      </c>
      <c r="D4" s="99">
        <f>AMOSTRAS!E19</f>
        <v/>
      </c>
      <c r="E4" s="179">
        <f>AMOSTRAS!E18</f>
        <v/>
      </c>
      <c r="F4" s="126">
        <f>D4/E4</f>
        <v/>
      </c>
      <c r="G4" s="180">
        <f>AMOSTRAS!G26</f>
        <v/>
      </c>
      <c r="H4" s="181">
        <f>IF(G10=" ","",$G$10-G4+1)</f>
        <v/>
      </c>
      <c r="I4" s="180">
        <f>QUADRO!G4</f>
        <v/>
      </c>
      <c r="J4" s="182">
        <f>IF(I10=" ","",$I$10-I4+1)</f>
        <v/>
      </c>
      <c r="K4" s="180">
        <f>QUADRO!H4</f>
        <v/>
      </c>
      <c r="L4" s="182">
        <f>IF(K10=" ","",$K$10-K4+1)</f>
        <v/>
      </c>
      <c r="M4" s="180">
        <f>QUADRO!I4</f>
        <v/>
      </c>
      <c r="N4" s="181">
        <f>IF(M10=" ","",$M$10-M4+1)</f>
        <v/>
      </c>
      <c r="O4" s="180">
        <f>QUADRO!J4</f>
        <v/>
      </c>
      <c r="P4" s="181">
        <f>TRUNC(IF(O4=" ","",H4*J4*L4*N4*O4),4)</f>
        <v/>
      </c>
      <c r="Q4" s="99">
        <f>TRUNC(IF(F4="","",F4*P4),2)</f>
        <v/>
      </c>
      <c r="R4" s="127">
        <f>IF(AND(Q4&lt;=$Q$12+$Q$13,Q4&gt;=$Q$12-$Q$13),Q4,"*")</f>
        <v/>
      </c>
    </row>
    <row r="5" ht="15" customHeight="1" s="236">
      <c r="A5" s="97" t="n">
        <v>2</v>
      </c>
      <c r="B5" s="98">
        <f>AMOSTRAS!E30</f>
        <v/>
      </c>
      <c r="C5" s="98" t="inlineStr">
        <is>
          <t>Imóvel 2</t>
        </is>
      </c>
      <c r="D5" s="99">
        <f>AMOSTRAS!E32</f>
        <v/>
      </c>
      <c r="E5" s="179">
        <f>AMOSTRAS!E31</f>
        <v/>
      </c>
      <c r="F5" s="126">
        <f>D5/E5</f>
        <v/>
      </c>
      <c r="G5" s="180">
        <f>AMOSTRAS!G39</f>
        <v/>
      </c>
      <c r="H5" s="181">
        <f>IF(G10=" ","",$G$10-G5+1)</f>
        <v/>
      </c>
      <c r="I5" s="180">
        <f>QUADRO!G5</f>
        <v/>
      </c>
      <c r="J5" s="182">
        <f>IF(I10=" ","",$I$10-I5+1)</f>
        <v/>
      </c>
      <c r="K5" s="180">
        <f>QUADRO!H5</f>
        <v/>
      </c>
      <c r="L5" s="182">
        <f>IF(K10=" ","",$K$10-K5+1)</f>
        <v/>
      </c>
      <c r="M5" s="180">
        <f>QUADRO!I5</f>
        <v/>
      </c>
      <c r="N5" s="181">
        <f>IF(M10=" ","",$M$10-M5+1)</f>
        <v/>
      </c>
      <c r="O5" s="180">
        <f>QUADRO!J5</f>
        <v/>
      </c>
      <c r="P5" s="181">
        <f>TRUNC(IF(O5=" ","",H5*J5*L5*N5*O5),4)</f>
        <v/>
      </c>
      <c r="Q5" s="99">
        <f>TRUNC(IF(F5="","",F5*P5),2)</f>
        <v/>
      </c>
      <c r="R5" s="127">
        <f>IF(AND(Q5&lt;=$Q$12+$Q$13,Q5&gt;=$Q$12-$Q$13),Q5,"*")</f>
        <v/>
      </c>
    </row>
    <row r="6" ht="15" customHeight="1" s="236">
      <c r="A6" s="97" t="n">
        <v>3</v>
      </c>
      <c r="B6" s="98">
        <f>AMOSTRAS!E43</f>
        <v/>
      </c>
      <c r="C6" s="98" t="inlineStr">
        <is>
          <t>Imóvel 3</t>
        </is>
      </c>
      <c r="D6" s="99">
        <f>AMOSTRAS!E45</f>
        <v/>
      </c>
      <c r="E6" s="179">
        <f>AMOSTRAS!E44</f>
        <v/>
      </c>
      <c r="F6" s="126">
        <f>D6/E6</f>
        <v/>
      </c>
      <c r="G6" s="180">
        <f>AMOSTRAS!G52</f>
        <v/>
      </c>
      <c r="H6" s="181">
        <f>IF(G10=" ","",$G$10-G6+1)</f>
        <v/>
      </c>
      <c r="I6" s="180">
        <f>QUADRO!G6</f>
        <v/>
      </c>
      <c r="J6" s="182">
        <f>IF(I10=" ","",$I$10-I6+1)</f>
        <v/>
      </c>
      <c r="K6" s="180">
        <f>QUADRO!H6</f>
        <v/>
      </c>
      <c r="L6" s="182">
        <f>IF(K10=" ","",$K$10-K6+1)</f>
        <v/>
      </c>
      <c r="M6" s="180">
        <f>QUADRO!I6</f>
        <v/>
      </c>
      <c r="N6" s="181">
        <f>IF(M10=" ","",$M$10-M6+1)</f>
        <v/>
      </c>
      <c r="O6" s="180">
        <f>QUADRO!J6</f>
        <v/>
      </c>
      <c r="P6" s="181">
        <f>TRUNC(IF(O6=" ","",H6*J6*L6*N6*O6),4)</f>
        <v/>
      </c>
      <c r="Q6" s="99">
        <f>TRUNC(IF(F6="","",F6*P6),2)</f>
        <v/>
      </c>
      <c r="R6" s="127">
        <f>IF(AND(Q6&lt;=$Q$12+$Q$13,Q6&gt;=$Q$12-$Q$13),Q6,"*")</f>
        <v/>
      </c>
    </row>
    <row r="7" ht="15" customHeight="1" s="236">
      <c r="A7" s="97" t="n">
        <v>4</v>
      </c>
      <c r="B7" s="98">
        <f>AMOSTRAS!E56</f>
        <v/>
      </c>
      <c r="C7" s="98" t="inlineStr">
        <is>
          <t>Imóvel 4</t>
        </is>
      </c>
      <c r="D7" s="99">
        <f>AMOSTRAS!E58</f>
        <v/>
      </c>
      <c r="E7" s="179">
        <f>AMOSTRAS!E57</f>
        <v/>
      </c>
      <c r="F7" s="126">
        <f>D7/E7</f>
        <v/>
      </c>
      <c r="G7" s="180">
        <f>AMOSTRAS!G65</f>
        <v/>
      </c>
      <c r="H7" s="181">
        <f>IF(G11=" ","",$G$10-G7+1)</f>
        <v/>
      </c>
      <c r="I7" s="180">
        <f>QUADRO!G7</f>
        <v/>
      </c>
      <c r="J7" s="182">
        <f>IF(I11=" ","",$I$10-I7+1)</f>
        <v/>
      </c>
      <c r="K7" s="180">
        <f>QUADRO!H7</f>
        <v/>
      </c>
      <c r="L7" s="182">
        <f>IF(K11=" ","",$K$10-K7+1)</f>
        <v/>
      </c>
      <c r="M7" s="180">
        <f>QUADRO!I7</f>
        <v/>
      </c>
      <c r="N7" s="181">
        <f>IF(M11=" ","",$M$10-M7+1)</f>
        <v/>
      </c>
      <c r="O7" s="180">
        <f>QUADRO!J7</f>
        <v/>
      </c>
      <c r="P7" s="181">
        <f>TRUNC(IF(O7=" ","",H7*J7*L7*N7*O7),4)</f>
        <v/>
      </c>
      <c r="Q7" s="99">
        <f>TRUNC(IF(F7="","",F7*P7),2)</f>
        <v/>
      </c>
      <c r="R7" s="127">
        <f>IF(AND(Q7&lt;=$Q$12+$Q$13,Q7&gt;=$Q$12-$Q$13),Q7,"*")</f>
        <v/>
      </c>
    </row>
    <row r="8" ht="15" customHeight="1" s="236">
      <c r="A8" s="97" t="n">
        <v>5</v>
      </c>
      <c r="B8" s="98">
        <f>AMOSTRAS!E69</f>
        <v/>
      </c>
      <c r="C8" s="98" t="inlineStr">
        <is>
          <t>Imóvel 5</t>
        </is>
      </c>
      <c r="D8" s="99">
        <f>AMOSTRAS!E71</f>
        <v/>
      </c>
      <c r="E8" s="179">
        <f>AMOSTRAS!E70</f>
        <v/>
      </c>
      <c r="F8" s="126">
        <f>D8/E8</f>
        <v/>
      </c>
      <c r="G8" s="180">
        <f>AMOSTRAS!G78</f>
        <v/>
      </c>
      <c r="H8" s="181">
        <f>IF(G12=" ","",$G$10-G8+1)</f>
        <v/>
      </c>
      <c r="I8" s="180">
        <f>QUADRO!G8</f>
        <v/>
      </c>
      <c r="J8" s="182">
        <f>IF(I12=" ","",$I$10-I8+1)</f>
        <v/>
      </c>
      <c r="K8" s="180">
        <f>QUADRO!H8</f>
        <v/>
      </c>
      <c r="L8" s="182">
        <f>IF(K12=" ","",$K$10-K8+1)</f>
        <v/>
      </c>
      <c r="M8" s="180">
        <f>QUADRO!I8</f>
        <v/>
      </c>
      <c r="N8" s="181">
        <f>IF(M12=" ","",$M$10-M8+1)</f>
        <v/>
      </c>
      <c r="O8" s="180">
        <f>QUADRO!J8</f>
        <v/>
      </c>
      <c r="P8" s="181">
        <f>TRUNC(IF(O8=" ","",H8*J8*L8*N8*O8),4)</f>
        <v/>
      </c>
      <c r="Q8" s="99">
        <f>TRUNC(IF(F8="","",F8*P8),2)</f>
        <v/>
      </c>
      <c r="R8" s="127">
        <f>IF(AND(Q8&lt;=$Q$12+$Q$13,Q8&gt;=$Q$12-$Q$13),Q8,"*")</f>
        <v/>
      </c>
    </row>
    <row r="9" ht="15" customHeight="1" s="236">
      <c r="A9" s="97" t="n">
        <v>6</v>
      </c>
      <c r="B9" s="98">
        <f>AMOSTRAS!E82</f>
        <v/>
      </c>
      <c r="C9" s="98" t="inlineStr">
        <is>
          <t>Imóvel 6</t>
        </is>
      </c>
      <c r="D9" s="99">
        <f>AMOSTRAS!E84</f>
        <v/>
      </c>
      <c r="E9" s="179">
        <f>AMOSTRAS!E83</f>
        <v/>
      </c>
      <c r="F9" s="126">
        <f>D9/E9</f>
        <v/>
      </c>
      <c r="G9" s="180">
        <f>AMOSTRAS!G91</f>
        <v/>
      </c>
      <c r="H9" s="181">
        <f>IF(G13=" ","",$G$10-G9+1)</f>
        <v/>
      </c>
      <c r="I9" s="180">
        <f>QUADRO!G9</f>
        <v/>
      </c>
      <c r="J9" s="182">
        <f>IF(I13=" ","",$I$10-I9+1)</f>
        <v/>
      </c>
      <c r="K9" s="180">
        <f>QUADRO!H9</f>
        <v/>
      </c>
      <c r="L9" s="182">
        <f>IF(K13=" ","",$K$10-K9+1)</f>
        <v/>
      </c>
      <c r="M9" s="180">
        <f>QUADRO!I9</f>
        <v/>
      </c>
      <c r="N9" s="181">
        <f>IF(M13=" ","",$M$10-M9+1)</f>
        <v/>
      </c>
      <c r="O9" s="180">
        <f>QUADRO!J9</f>
        <v/>
      </c>
      <c r="P9" s="181">
        <f>TRUNC(IF(O9=" ","",H9*J9*L9*N9*O9),4)</f>
        <v/>
      </c>
      <c r="Q9" s="99">
        <f>TRUNC(IF(F9="","",F9*P9),2)</f>
        <v/>
      </c>
      <c r="R9" s="127">
        <f>IF(AND(Q9&lt;=$Q$12+$Q$13,Q9&gt;=$Q$12-$Q$13),Q9,"*")</f>
        <v/>
      </c>
    </row>
    <row r="10" ht="15" customHeight="1" s="236">
      <c r="A10" s="332" t="inlineStr">
        <is>
          <t>Avaliando</t>
        </is>
      </c>
      <c r="B10" s="162">
        <f>AMOSTRAS!E5</f>
        <v/>
      </c>
      <c r="C10" s="162" t="inlineStr">
        <is>
          <t>AVALIANDA</t>
        </is>
      </c>
      <c r="D10" s="104" t="n"/>
      <c r="E10" s="183" t="n"/>
      <c r="F10" s="100" t="n"/>
      <c r="G10" s="180">
        <f>AMOSTRAS!G13</f>
        <v/>
      </c>
      <c r="H10" s="184" t="n"/>
      <c r="I10" s="180" t="n">
        <v>0.9</v>
      </c>
      <c r="J10" s="185" t="n"/>
      <c r="K10" s="180" t="n">
        <v>0.7</v>
      </c>
      <c r="L10" s="185" t="n"/>
      <c r="M10" s="180" t="n">
        <v>1.1</v>
      </c>
      <c r="N10" s="186" t="n"/>
      <c r="O10" s="183" t="n"/>
      <c r="P10" s="183" t="n"/>
      <c r="Q10" s="101" t="n"/>
      <c r="R10" s="102" t="n"/>
    </row>
    <row r="11" ht="12.75" customHeight="1" s="236">
      <c r="A11" s="103" t="n"/>
      <c r="B11" s="104" t="n"/>
      <c r="C11" s="104" t="n"/>
      <c r="D11" s="104" t="n"/>
      <c r="E11" s="104" t="n"/>
      <c r="F11" s="104" t="n"/>
      <c r="G11" s="104" t="n"/>
      <c r="H11" s="104" t="n"/>
      <c r="I11" s="105" t="n"/>
      <c r="J11" s="105" t="n"/>
      <c r="K11" s="105" t="n"/>
      <c r="L11" s="105" t="n"/>
      <c r="M11" s="104" t="n"/>
      <c r="N11" s="104" t="n"/>
      <c r="O11" s="104" t="n"/>
      <c r="P11" s="104" t="n"/>
      <c r="Q11" s="104" t="n"/>
      <c r="R11" s="106" t="n"/>
    </row>
    <row r="12" ht="14.25" customHeight="1" s="236">
      <c r="A12" s="332" t="inlineStr">
        <is>
          <t>CCU Indexado¹</t>
        </is>
      </c>
      <c r="B12" s="244" t="n"/>
      <c r="C12" s="333" t="inlineStr">
        <is>
          <t>obtido da seguinte forma = (CCU imóvel Avaliando - CCU elmento da amostra) + 1</t>
        </is>
      </c>
      <c r="L12" s="105" t="n"/>
      <c r="M12" s="104" t="n"/>
      <c r="N12" s="104" t="n"/>
      <c r="O12" s="104" t="n"/>
      <c r="P12" s="107" t="inlineStr">
        <is>
          <t xml:space="preserve">Média </t>
        </is>
      </c>
      <c r="Q12" s="411">
        <f>TRUNC(AVERAGE(Q4:Q9),2)</f>
        <v/>
      </c>
      <c r="R12" s="106" t="n"/>
    </row>
    <row r="13" ht="14.25" customHeight="1" s="236">
      <c r="A13" s="332" t="inlineStr">
        <is>
          <t>Situação Indexado ²</t>
        </is>
      </c>
      <c r="B13" s="244" t="n"/>
      <c r="C13" s="333" t="inlineStr">
        <is>
          <t>obtido da seguinte forma = (Situação imóvel Avaliando - Situação elmento da amostra) + 1</t>
        </is>
      </c>
      <c r="L13" s="104" t="n"/>
      <c r="M13" s="104" t="n"/>
      <c r="N13" s="104" t="n"/>
      <c r="O13" s="104" t="n"/>
      <c r="P13" s="107" t="inlineStr">
        <is>
          <t>Desvio Padrão</t>
        </is>
      </c>
      <c r="Q13" s="411">
        <f>TRUNC(IF(Q12="","",_xlfn.STDEV.S(Q4:Q9)),2)</f>
        <v/>
      </c>
      <c r="R13" s="106" t="n"/>
    </row>
    <row r="14" ht="14.25" customHeight="1" s="236">
      <c r="A14" s="332">
        <f>L3</f>
        <v/>
      </c>
      <c r="B14" s="244" t="n"/>
      <c r="C14" s="333" t="inlineStr">
        <is>
          <t>obtido da seguinte forma = (Distância imóvel Avaliando - Distância elmento da amostra) + 1</t>
        </is>
      </c>
      <c r="L14" s="104" t="n"/>
      <c r="M14" s="104" t="n"/>
      <c r="N14" s="104" t="n"/>
      <c r="O14" s="104" t="n"/>
      <c r="P14" s="107" t="inlineStr">
        <is>
          <t>Limite Superior</t>
        </is>
      </c>
      <c r="Q14" s="411">
        <f>TRUNC(IF(Q12="","",Q12+Q13),2)</f>
        <v/>
      </c>
      <c r="R14" s="106" t="n"/>
    </row>
    <row r="15" ht="14.25" customHeight="1" s="236">
      <c r="A15" s="332" t="inlineStr">
        <is>
          <t>Hidrografia Indexado 4</t>
        </is>
      </c>
      <c r="B15" s="244" t="n"/>
      <c r="C15" s="333" t="inlineStr">
        <is>
          <t>obtido da seguinte forma = (Hidrografia imóvel Avaliando - Hidrografia elmento da amostra) + 1</t>
        </is>
      </c>
      <c r="L15" s="104" t="n"/>
      <c r="M15" s="104" t="n"/>
      <c r="N15" s="104" t="n"/>
      <c r="O15" s="104" t="n"/>
      <c r="P15" s="107" t="inlineStr">
        <is>
          <t>Limite Inferior</t>
        </is>
      </c>
      <c r="Q15" s="411">
        <f>TRUNC(IF(Q12="","",Q12-Q13),2)</f>
        <v/>
      </c>
      <c r="R15" s="106" t="n"/>
    </row>
    <row r="16" ht="14.25" customHeight="1" s="236">
      <c r="A16" s="332" t="inlineStr">
        <is>
          <t>Fator Homogeneização Total (FHT) 6</t>
        </is>
      </c>
      <c r="B16" s="244" t="n"/>
      <c r="C16" s="330" t="inlineStr">
        <is>
          <t xml:space="preserve">Obtido pela multiplicação do CCU Indexado, da Situação Indexado, Distância Indexado, Hidrografia Indexado e Fator Oferta </t>
        </is>
      </c>
      <c r="L16" s="104" t="n"/>
      <c r="M16" s="104" t="n"/>
      <c r="N16" s="104" t="n"/>
      <c r="O16" s="104" t="n"/>
      <c r="P16" s="104" t="n"/>
      <c r="Q16" s="104" t="n"/>
      <c r="R16" s="106" t="n"/>
    </row>
    <row r="17" ht="28.5" customHeight="1" s="236">
      <c r="A17" s="332" t="inlineStr">
        <is>
          <t>VT/ha homogeneizado 7</t>
        </is>
      </c>
      <c r="B17" s="244" t="n"/>
      <c r="C17" s="330" t="inlineStr">
        <is>
          <t>Resultado da multiplicação do VT / ha do elementdo da amostra pelo seu FHT</t>
        </is>
      </c>
      <c r="L17" s="104" t="n"/>
      <c r="M17" s="107" t="inlineStr">
        <is>
          <t>n =</t>
        </is>
      </c>
      <c r="N17" s="98" t="n">
        <v>4</v>
      </c>
      <c r="O17" s="104" t="n"/>
      <c r="P17" s="107" t="inlineStr">
        <is>
          <t>Média após Saneamento</t>
        </is>
      </c>
      <c r="Q17" s="187">
        <f>TRUNC(AVERAGE(R4:R9),2)</f>
        <v/>
      </c>
      <c r="R17" s="106" t="n"/>
    </row>
    <row r="18" ht="14.25" customHeight="1" s="236">
      <c r="A18" s="332" t="inlineStr">
        <is>
          <t>Limite Superior</t>
        </is>
      </c>
      <c r="B18" s="244" t="n"/>
      <c r="C18" s="330" t="inlineStr">
        <is>
          <t>Limite superior de valor de VT/ha homogeneizado</t>
        </is>
      </c>
      <c r="L18" s="104" t="n"/>
      <c r="M18" s="107" t="inlineStr">
        <is>
          <t>t =</t>
        </is>
      </c>
      <c r="N18" s="98" t="n">
        <v>0.271</v>
      </c>
      <c r="O18" s="104" t="n"/>
      <c r="P18" s="104" t="n"/>
      <c r="Q18" s="104" t="n"/>
      <c r="R18" s="106" t="n"/>
    </row>
    <row r="19" ht="28.5" customHeight="1" s="236">
      <c r="A19" s="332" t="inlineStr">
        <is>
          <t>Limite Inferior</t>
        </is>
      </c>
      <c r="B19" s="244" t="n"/>
      <c r="C19" s="330" t="inlineStr">
        <is>
          <t>Limite Inferior de valor de VT/ha homogeneizado</t>
        </is>
      </c>
      <c r="L19" s="104" t="n"/>
      <c r="M19" s="104" t="n"/>
      <c r="N19" s="104" t="n"/>
      <c r="O19" s="104" t="n"/>
      <c r="P19" s="107" t="inlineStr">
        <is>
          <t>Desvio Padrão Saneado</t>
        </is>
      </c>
      <c r="Q19" s="411">
        <f>TRUNC(_xlfn.STDEV.S(R4:R9),2)</f>
        <v/>
      </c>
      <c r="R19" s="106" t="n"/>
    </row>
    <row r="20" ht="14.25" customHeight="1" s="236">
      <c r="A20" s="332" t="inlineStr">
        <is>
          <t>Amostra Saneada</t>
        </is>
      </c>
      <c r="B20" s="244" t="n"/>
      <c r="C20" s="330" t="inlineStr">
        <is>
          <t>Elemento que apresente seu VT/ ha homogeneizado maior que o limite superior ou menor que o limite inferior</t>
        </is>
      </c>
      <c r="L20" s="104" t="n"/>
      <c r="M20" s="104" t="n"/>
      <c r="N20" s="104" t="n"/>
      <c r="O20" s="104" t="n"/>
      <c r="P20" s="107" t="inlineStr">
        <is>
          <t>Fator para I.C.</t>
        </is>
      </c>
      <c r="Q20" s="133">
        <f>TRUNC(N18*(Q19/(SQRT(N17))),2)</f>
        <v/>
      </c>
      <c r="R20" s="106" t="n"/>
    </row>
    <row r="21" ht="14.25" customHeight="1" s="236">
      <c r="A21" s="332" t="inlineStr">
        <is>
          <t>Média após Saneamento</t>
        </is>
      </c>
      <c r="B21" s="244" t="n"/>
      <c r="C21" s="330" t="inlineStr">
        <is>
          <t>Média de Valor calculado após eliminação dos elementos saneados</t>
        </is>
      </c>
      <c r="L21" s="104" t="n"/>
      <c r="M21" s="104" t="n"/>
      <c r="N21" s="104" t="n"/>
      <c r="O21" s="104" t="n"/>
      <c r="P21" s="108" t="inlineStr">
        <is>
          <t>I.C. Superior</t>
        </is>
      </c>
      <c r="Q21" s="411">
        <f>TRUNC(IF(Q17="","",Q17+Q20),2)</f>
        <v/>
      </c>
      <c r="R21" s="106" t="n"/>
    </row>
    <row r="22" ht="14.25" customHeight="1" s="236">
      <c r="A22" s="332" t="inlineStr">
        <is>
          <t>Fator para I.C.</t>
        </is>
      </c>
      <c r="B22" s="244" t="n"/>
      <c r="C22" s="337" t="inlineStr">
        <is>
          <t>= t*(Desvio padrão saneado/ √ do numero de elementos utilizado), onde "t" é percentil da distribuição de Student, com grau de liberdade ( V = n-1) e 80% de confiança</t>
        </is>
      </c>
      <c r="O22" s="241" t="n"/>
      <c r="P22" s="107" t="inlineStr">
        <is>
          <t>I.C. Inferior</t>
        </is>
      </c>
      <c r="Q22" s="411">
        <f>TRUNC(IF(Q17="","",Q17-Q20),2)</f>
        <v/>
      </c>
      <c r="R22" s="106" t="n"/>
    </row>
    <row r="23" ht="14.25" customHeight="1" s="236">
      <c r="A23" s="332" t="inlineStr">
        <is>
          <t>I.C. Superior</t>
        </is>
      </c>
      <c r="B23" s="244" t="n"/>
      <c r="C23" s="330" t="inlineStr">
        <is>
          <t>Média Saneada + Fator para I.C.</t>
        </is>
      </c>
      <c r="M23" s="104" t="n"/>
      <c r="N23" s="104" t="n"/>
      <c r="O23" s="104" t="n"/>
      <c r="P23" s="107" t="inlineStr">
        <is>
          <t>Amplitude</t>
        </is>
      </c>
      <c r="Q23" s="411">
        <f>TRUNC(IF(Q21="","",Q21-Q22),2)</f>
        <v/>
      </c>
      <c r="R23" s="106" t="n"/>
    </row>
    <row r="24" ht="30" customHeight="1" s="236">
      <c r="A24" s="332" t="inlineStr">
        <is>
          <t>I.C. Inferior</t>
        </is>
      </c>
      <c r="B24" s="244" t="n"/>
      <c r="C24" s="330" t="inlineStr">
        <is>
          <t>Média Saneada - Fator para I.C.</t>
        </is>
      </c>
      <c r="M24" s="104" t="n"/>
      <c r="N24" s="104" t="n"/>
      <c r="O24" s="104" t="n"/>
      <c r="P24" s="107" t="inlineStr">
        <is>
          <t>Coeficiente de Variação %</t>
        </is>
      </c>
      <c r="Q24" s="190">
        <f>IF(Q17="","",(Q23/Q17)*100)</f>
        <v/>
      </c>
      <c r="R24" s="106" t="n"/>
    </row>
    <row r="25" ht="14.25" customHeight="1" s="236">
      <c r="A25" s="332" t="inlineStr">
        <is>
          <t>Amplitude</t>
        </is>
      </c>
      <c r="B25" s="244" t="n"/>
      <c r="C25" s="330" t="inlineStr">
        <is>
          <t>I.C. Superior - I.C. Inferior</t>
        </is>
      </c>
      <c r="L25" s="104" t="n"/>
      <c r="M25" s="104" t="n"/>
      <c r="N25" s="104" t="n"/>
      <c r="O25" s="104" t="n"/>
      <c r="P25" s="104" t="n"/>
      <c r="Q25" s="104" t="n"/>
      <c r="R25" s="106" t="n"/>
    </row>
    <row r="26" ht="15" customHeight="1" s="236" thickBot="1">
      <c r="A26" s="334" t="inlineStr">
        <is>
          <t>Coeficiente de Variação</t>
        </is>
      </c>
      <c r="B26" s="335" t="n"/>
      <c r="C26" s="338" t="inlineStr">
        <is>
          <t>Amplitude / Média Saneada</t>
        </is>
      </c>
      <c r="D26" s="339" t="n"/>
      <c r="E26" s="339" t="n"/>
      <c r="F26" s="339" t="n"/>
      <c r="G26" s="339" t="n"/>
      <c r="H26" s="339" t="n"/>
      <c r="I26" s="339" t="n"/>
      <c r="J26" s="339" t="n"/>
      <c r="K26" s="339" t="n"/>
      <c r="L26" s="109" t="n"/>
      <c r="M26" s="109" t="n"/>
      <c r="N26" s="109" t="n"/>
      <c r="O26" s="109" t="n"/>
      <c r="P26" s="109" t="n"/>
      <c r="Q26" s="109" t="n"/>
      <c r="R26" s="110" t="n"/>
    </row>
    <row r="28">
      <c r="Q28" s="143" t="n"/>
      <c r="R28" s="188" t="n"/>
    </row>
    <row r="29">
      <c r="P29" s="189">
        <f>Q17*4.84</f>
        <v/>
      </c>
    </row>
  </sheetData>
  <mergeCells count="31">
    <mergeCell ref="C16:K16"/>
    <mergeCell ref="A24:B24"/>
    <mergeCell ref="C25:K25"/>
    <mergeCell ref="A15:B15"/>
    <mergeCell ref="C23:L23"/>
    <mergeCell ref="C12:K12"/>
    <mergeCell ref="C21:K21"/>
    <mergeCell ref="A16:B16"/>
    <mergeCell ref="A25:B25"/>
    <mergeCell ref="C17:K17"/>
    <mergeCell ref="A18:B18"/>
    <mergeCell ref="C24:L24"/>
    <mergeCell ref="A12:B12"/>
    <mergeCell ref="A26:B26"/>
    <mergeCell ref="A21:B21"/>
    <mergeCell ref="C19:K19"/>
    <mergeCell ref="C13:K13"/>
    <mergeCell ref="C18:K18"/>
    <mergeCell ref="A14:B14"/>
    <mergeCell ref="A17:B17"/>
    <mergeCell ref="A23:B23"/>
    <mergeCell ref="A22:B22"/>
    <mergeCell ref="E1:N1"/>
    <mergeCell ref="A20:B20"/>
    <mergeCell ref="C15:K15"/>
    <mergeCell ref="C22:O22"/>
    <mergeCell ref="A19:B19"/>
    <mergeCell ref="C14:K14"/>
    <mergeCell ref="A13:B13"/>
    <mergeCell ref="C26:K26"/>
    <mergeCell ref="C20:K20"/>
  </mergeCells>
  <conditionalFormatting sqref="B4:C10">
    <cfRule type="cellIs" priority="25" operator="equal" dxfId="0" stopIfTrue="1">
      <formula>" "</formula>
    </cfRule>
  </conditionalFormatting>
  <conditionalFormatting sqref="D4:D9">
    <cfRule type="cellIs" priority="3" operator="equal" dxfId="0" stopIfTrue="1">
      <formula>" "</formula>
    </cfRule>
  </conditionalFormatting>
  <conditionalFormatting sqref="E4:E10">
    <cfRule type="cellIs" priority="15" operator="equal" dxfId="0" stopIfTrue="1">
      <formula>" "</formula>
    </cfRule>
  </conditionalFormatting>
  <conditionalFormatting sqref="G4:G10">
    <cfRule type="cellIs" priority="20" operator="equal" dxfId="0" stopIfTrue="1">
      <formula>" "</formula>
    </cfRule>
  </conditionalFormatting>
  <conditionalFormatting sqref="I4:I10">
    <cfRule type="cellIs" priority="19" operator="equal" dxfId="0" stopIfTrue="1">
      <formula>" "</formula>
    </cfRule>
  </conditionalFormatting>
  <conditionalFormatting sqref="K4:K10">
    <cfRule type="cellIs" priority="18" operator="equal" dxfId="0" stopIfTrue="1">
      <formula>" "</formula>
    </cfRule>
  </conditionalFormatting>
  <conditionalFormatting sqref="M4:M10">
    <cfRule type="cellIs" priority="17" operator="equal" dxfId="0" stopIfTrue="1">
      <formula>" "</formula>
    </cfRule>
  </conditionalFormatting>
  <conditionalFormatting sqref="O4:O10">
    <cfRule type="cellIs" priority="14" operator="equal" dxfId="0" stopIfTrue="1">
      <formula>" "</formula>
    </cfRule>
  </conditionalFormatting>
  <pageMargins left="0.511811024" right="0.511811024" top="0.787401575" bottom="0.787401575" header="0.31496062" footer="0.31496062"/>
  <pageSetup orientation="landscape" paperSize="9" scale="5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4:L34"/>
  <sheetViews>
    <sheetView workbookViewId="0">
      <selection activeCell="M9" sqref="M9"/>
    </sheetView>
  </sheetViews>
  <sheetFormatPr baseColWidth="8" defaultRowHeight="12.75"/>
  <cols>
    <col width="11" customWidth="1" style="236" min="10" max="10"/>
    <col width="11.140625" customWidth="1" style="236" min="11" max="11"/>
  </cols>
  <sheetData>
    <row r="4">
      <c r="C4" s="358">
        <f>'AREA UTIL '!C4:J4</f>
        <v/>
      </c>
    </row>
    <row r="5">
      <c r="C5" s="358" t="inlineStr">
        <is>
          <t>SANEAMENTO DAS AMOSTRAS</t>
        </is>
      </c>
    </row>
    <row r="6">
      <c r="C6" s="345" t="inlineStr">
        <is>
          <t>Desvio Padrão Saneado</t>
        </is>
      </c>
      <c r="F6" s="343">
        <f>'PLANILHA HOMOG'!Q19</f>
        <v/>
      </c>
      <c r="H6" s="241" t="n"/>
    </row>
    <row r="7">
      <c r="C7" s="345" t="inlineStr">
        <is>
          <t>Limite Superior (R$/ha)</t>
        </is>
      </c>
      <c r="F7" s="343">
        <f>'PLANILHA HOMOG'!Q14</f>
        <v/>
      </c>
      <c r="H7" s="241" t="n"/>
    </row>
    <row r="8">
      <c r="C8" s="345" t="inlineStr">
        <is>
          <t>Limite Inferior (R$/ha)</t>
        </is>
      </c>
      <c r="F8" s="343">
        <f>'PLANILHA HOMOG'!Q15</f>
        <v/>
      </c>
      <c r="H8" s="241" t="n"/>
    </row>
    <row r="9">
      <c r="C9" s="345" t="inlineStr">
        <is>
          <t>Elementos Saneados</t>
        </is>
      </c>
      <c r="F9" s="347" t="n">
        <v>6</v>
      </c>
      <c r="H9" s="241" t="n"/>
      <c r="J9" t="inlineStr">
        <is>
          <t>PREENCHER MANUAL</t>
        </is>
      </c>
    </row>
    <row r="10">
      <c r="C10" s="345" t="inlineStr">
        <is>
          <t>Elementos Expurgados</t>
        </is>
      </c>
      <c r="F10" s="347" t="n">
        <v>1</v>
      </c>
      <c r="H10" s="241" t="n"/>
      <c r="J10" t="inlineStr">
        <is>
          <t>PREENCHER MANUAL</t>
        </is>
      </c>
    </row>
    <row r="11">
      <c r="C11" s="345" t="inlineStr">
        <is>
          <t>Coeficiente de Variação %</t>
        </is>
      </c>
      <c r="F11" s="354">
        <f>'PLANILHA HOMOG'!Q24</f>
        <v/>
      </c>
      <c r="H11" s="241" t="n"/>
    </row>
    <row r="12">
      <c r="C12" s="345" t="inlineStr">
        <is>
          <t xml:space="preserve">T. Student </t>
        </is>
      </c>
      <c r="F12" s="347">
        <f>'PLANILHA HOMOG'!N18</f>
        <v/>
      </c>
      <c r="H12" s="241" t="n"/>
    </row>
    <row r="13">
      <c r="C13" s="345" t="inlineStr">
        <is>
          <t>Amplitude</t>
        </is>
      </c>
      <c r="F13" s="343">
        <f>'PLANILHA HOMOG'!Q23</f>
        <v/>
      </c>
      <c r="H13" s="241" t="n"/>
    </row>
    <row r="14" ht="15" customHeight="1" s="236">
      <c r="C14" s="342" t="inlineStr">
        <is>
          <t xml:space="preserve">Valor médio apurado (R$/ha) </t>
        </is>
      </c>
      <c r="D14" s="243" t="n"/>
      <c r="E14" s="243" t="n"/>
      <c r="F14" s="340">
        <f>'PLANILHA HOMOG'!Q17</f>
        <v/>
      </c>
      <c r="G14" s="243" t="n"/>
      <c r="H14" s="244" t="n"/>
      <c r="J14" s="357">
        <f>F14*4.84</f>
        <v/>
      </c>
    </row>
    <row r="15">
      <c r="C15" s="355" t="n"/>
    </row>
    <row r="16">
      <c r="C16" s="341" t="inlineStr">
        <is>
          <t>VALOR DE TERRA NUA APURADO</t>
        </is>
      </c>
    </row>
    <row r="17">
      <c r="C17" s="345" t="inlineStr">
        <is>
          <t>Área total do imóvel avaliando</t>
        </is>
      </c>
      <c r="F17" s="347">
        <f>AMOSTRAS!E13</f>
        <v/>
      </c>
      <c r="H17" s="241" t="n"/>
    </row>
    <row r="18">
      <c r="C18" s="345" t="inlineStr">
        <is>
          <t>Valor do hectare (R$/ha)</t>
        </is>
      </c>
      <c r="F18" s="343">
        <f>'PLANILHA HOMOG'!Q17</f>
        <v/>
      </c>
      <c r="H18" s="241" t="n"/>
    </row>
    <row r="19">
      <c r="C19" s="345" t="inlineStr">
        <is>
          <t>Valor total de terra nua</t>
        </is>
      </c>
      <c r="F19" s="343">
        <f>F17*F18</f>
        <v/>
      </c>
      <c r="H19" s="241" t="n"/>
    </row>
    <row r="20" ht="15" customHeight="1" s="236">
      <c r="C20" s="342" t="inlineStr">
        <is>
          <t>Valor adotado</t>
        </is>
      </c>
      <c r="D20" s="243" t="n"/>
      <c r="E20" s="243" t="n"/>
      <c r="F20" s="340">
        <f>F19</f>
        <v/>
      </c>
      <c r="G20" s="243" t="n"/>
      <c r="H20" s="244" t="n"/>
    </row>
    <row r="21">
      <c r="C21" s="344" t="n"/>
      <c r="F21" s="349" t="n"/>
    </row>
    <row r="22">
      <c r="C22" s="344" t="n"/>
      <c r="F22" s="349" t="n"/>
    </row>
    <row r="23">
      <c r="C23" s="344" t="n"/>
      <c r="F23" s="348" t="n"/>
    </row>
    <row r="24">
      <c r="C24" s="356" t="inlineStr">
        <is>
          <t>VALOR DE BENFEITORIAS - PIVÔ CENTRAL + hidraulico</t>
        </is>
      </c>
    </row>
    <row r="25">
      <c r="C25" s="350" t="inlineStr">
        <is>
          <t>Custo de de Formação (novo)</t>
        </is>
      </c>
      <c r="F25" s="352" t="n">
        <v>2000000</v>
      </c>
      <c r="H25" s="241" t="n"/>
    </row>
    <row r="26">
      <c r="C26" s="350" t="inlineStr">
        <is>
          <t>Depreciação: Adequada/bom</t>
        </is>
      </c>
      <c r="F26" s="346" t="n">
        <v>0.8</v>
      </c>
      <c r="H26" s="241" t="n"/>
    </row>
    <row r="27">
      <c r="C27" s="350" t="inlineStr">
        <is>
          <t>Valor depreciado</t>
        </is>
      </c>
      <c r="F27" s="352">
        <f>F25*F26</f>
        <v/>
      </c>
      <c r="H27" s="241" t="n"/>
    </row>
    <row r="28" ht="15" customHeight="1" s="236">
      <c r="C28" s="353" t="inlineStr">
        <is>
          <t>Valor adotado</t>
        </is>
      </c>
      <c r="D28" s="243" t="n"/>
      <c r="E28" s="243" t="n"/>
      <c r="F28" s="351">
        <f>F27</f>
        <v/>
      </c>
      <c r="G28" s="243" t="n"/>
      <c r="H28" s="244" t="n"/>
    </row>
    <row r="31">
      <c r="C31" s="341" t="inlineStr">
        <is>
          <t>VALOR TOTAL DE TERRA NUA + BENFEITORIAS</t>
        </is>
      </c>
    </row>
    <row r="32">
      <c r="C32" s="345" t="inlineStr">
        <is>
          <t>Valor Total de Terra Nua</t>
        </is>
      </c>
      <c r="F32" s="343">
        <f>F20</f>
        <v/>
      </c>
      <c r="H32" s="241" t="n"/>
    </row>
    <row r="33">
      <c r="C33" s="345" t="inlineStr">
        <is>
          <t xml:space="preserve">Valor do Pivô </t>
        </is>
      </c>
      <c r="F33" s="343">
        <f>F28</f>
        <v/>
      </c>
      <c r="H33" s="241" t="n"/>
    </row>
    <row r="34" ht="15" customHeight="1" s="236">
      <c r="C34" s="342" t="inlineStr">
        <is>
          <t>Valor Total</t>
        </is>
      </c>
      <c r="D34" s="243" t="n"/>
      <c r="E34" s="243" t="n"/>
      <c r="F34" s="340">
        <f>F32+F33</f>
        <v/>
      </c>
      <c r="G34" s="243" t="n"/>
      <c r="H34" s="244" t="n"/>
    </row>
  </sheetData>
  <mergeCells count="53">
    <mergeCell ref="F20:H20"/>
    <mergeCell ref="C16:H16"/>
    <mergeCell ref="F21:H21"/>
    <mergeCell ref="F18:H18"/>
    <mergeCell ref="F33:H33"/>
    <mergeCell ref="C22:E22"/>
    <mergeCell ref="C31:H31"/>
    <mergeCell ref="C9:E9"/>
    <mergeCell ref="F8:H8"/>
    <mergeCell ref="F26:H26"/>
    <mergeCell ref="F32:H32"/>
    <mergeCell ref="F17:H17"/>
    <mergeCell ref="C21:E21"/>
    <mergeCell ref="C12:E12"/>
    <mergeCell ref="F23:H23"/>
    <mergeCell ref="C11:E11"/>
    <mergeCell ref="F22:H22"/>
    <mergeCell ref="C27:E27"/>
    <mergeCell ref="F28:H28"/>
    <mergeCell ref="F13:H13"/>
    <mergeCell ref="C23:E23"/>
    <mergeCell ref="F27:H27"/>
    <mergeCell ref="C8:E8"/>
    <mergeCell ref="C17:E17"/>
    <mergeCell ref="F9:H9"/>
    <mergeCell ref="C7:E7"/>
    <mergeCell ref="C32:E32"/>
    <mergeCell ref="C28:E28"/>
    <mergeCell ref="F14:H14"/>
    <mergeCell ref="C19:E19"/>
    <mergeCell ref="C13:E13"/>
    <mergeCell ref="C18:E18"/>
    <mergeCell ref="C34:E34"/>
    <mergeCell ref="F11:H11"/>
    <mergeCell ref="C6:E6"/>
    <mergeCell ref="F25:H25"/>
    <mergeCell ref="F34:H34"/>
    <mergeCell ref="C15:H15"/>
    <mergeCell ref="F10:H10"/>
    <mergeCell ref="C33:E33"/>
    <mergeCell ref="C14:E14"/>
    <mergeCell ref="J14:L14"/>
    <mergeCell ref="F19:H19"/>
    <mergeCell ref="F6:H6"/>
    <mergeCell ref="C24:H24"/>
    <mergeCell ref="C5:H5"/>
    <mergeCell ref="C26:E26"/>
    <mergeCell ref="C4:H4"/>
    <mergeCell ref="F12:H12"/>
    <mergeCell ref="F7:H7"/>
    <mergeCell ref="C20:E20"/>
    <mergeCell ref="C25:E25"/>
    <mergeCell ref="C10:E10"/>
  </mergeCells>
  <pageMargins left="0.511811024" right="0.511811024" top="0.787401575" bottom="0.787401575" header="0.31496062" footer="0.31496062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M18"/>
  <sheetViews>
    <sheetView topLeftCell="A2" workbookViewId="0">
      <selection activeCell="J16" sqref="J16"/>
    </sheetView>
  </sheetViews>
  <sheetFormatPr baseColWidth="8" defaultRowHeight="12.75"/>
  <cols>
    <col width="15.42578125" bestFit="1" customWidth="1" style="236" min="3" max="3"/>
    <col width="19.28515625" customWidth="1" style="236" min="11" max="11"/>
    <col width="18.85546875" customWidth="1" style="236" min="13" max="13"/>
  </cols>
  <sheetData>
    <row r="5">
      <c r="C5" s="358">
        <f>'AREA UTIL '!C4:J4</f>
        <v/>
      </c>
    </row>
    <row r="6">
      <c r="C6" s="358" t="inlineStr">
        <is>
          <t>CÁLCULO DE VALOR DE LIQUIDAÇÃO FORÇADA</t>
        </is>
      </c>
    </row>
    <row r="7">
      <c r="C7" s="345" t="inlineStr">
        <is>
          <t>i - Taxa de Desconto</t>
        </is>
      </c>
      <c r="F7" s="412" t="n">
        <v>0.1075</v>
      </c>
      <c r="H7" s="241" t="n"/>
    </row>
    <row r="8">
      <c r="C8" s="345" t="inlineStr">
        <is>
          <t>n - Número de meses</t>
        </is>
      </c>
      <c r="F8" s="347" t="n">
        <v>36</v>
      </c>
      <c r="H8" s="241" t="n"/>
    </row>
    <row r="9">
      <c r="C9" s="345" t="inlineStr">
        <is>
          <t>Coeficiente Calculado</t>
        </is>
      </c>
      <c r="F9" s="413">
        <f>1/((1+F7)^(F8/12))</f>
        <v/>
      </c>
      <c r="H9" s="241" t="n"/>
    </row>
    <row r="10">
      <c r="C10" s="345" t="inlineStr">
        <is>
          <t>Valor de Mercado</t>
        </is>
      </c>
      <c r="F10" s="343">
        <f>SANEAMENTO!F20</f>
        <v/>
      </c>
      <c r="H10" s="241" t="n"/>
    </row>
    <row r="11" ht="15" customHeight="1" s="236">
      <c r="C11" s="342" t="inlineStr">
        <is>
          <t>Valor de Liquidação Forçada</t>
        </is>
      </c>
      <c r="D11" s="243" t="n"/>
      <c r="E11" s="243" t="n"/>
      <c r="F11" s="340">
        <f>F10/((1+F7)^(F8/12))</f>
        <v/>
      </c>
      <c r="G11" s="243" t="n"/>
      <c r="H11" s="244" t="n"/>
      <c r="K11" s="132" t="n"/>
      <c r="M11" s="414" t="n"/>
    </row>
    <row r="12" ht="15" customHeight="1" s="236">
      <c r="K12" s="132" t="n"/>
      <c r="M12" s="414" t="n"/>
    </row>
    <row r="13">
      <c r="C13" s="341" t="inlineStr">
        <is>
          <t>CÁLCULO DE VALOR DE LIQUIDAÇÃO FORÇADA</t>
        </is>
      </c>
      <c r="K13" s="131" t="n"/>
      <c r="M13" s="415" t="n"/>
    </row>
    <row r="14">
      <c r="C14" s="345" t="inlineStr">
        <is>
          <t>i - Taxa de Desconto</t>
        </is>
      </c>
      <c r="F14" s="412" t="n">
        <v>0.12768</v>
      </c>
      <c r="H14" s="241" t="n"/>
    </row>
    <row r="15">
      <c r="C15" s="345" t="inlineStr">
        <is>
          <t>n - Número de meses</t>
        </is>
      </c>
      <c r="F15" s="347" t="n">
        <v>36</v>
      </c>
      <c r="H15" s="241" t="n"/>
    </row>
    <row r="16">
      <c r="C16" s="345" t="inlineStr">
        <is>
          <t>Coeficiente Calculado</t>
        </is>
      </c>
      <c r="F16" s="413">
        <f>1/((1+F14)^(F15/12))</f>
        <v/>
      </c>
      <c r="H16" s="241" t="n"/>
    </row>
    <row r="17">
      <c r="C17" s="345" t="inlineStr">
        <is>
          <t>Valor de Mercado</t>
        </is>
      </c>
      <c r="F17" s="343">
        <f>SANEAMENTO!F28</f>
        <v/>
      </c>
      <c r="H17" s="241" t="n"/>
    </row>
    <row r="18" ht="15" customHeight="1" s="236">
      <c r="C18" s="342" t="inlineStr">
        <is>
          <t>Valor de Liquidação Forçada</t>
        </is>
      </c>
      <c r="D18" s="243" t="n"/>
      <c r="E18" s="243" t="n"/>
      <c r="F18" s="340">
        <f>F17/((1+F14)^(F15/12))</f>
        <v/>
      </c>
      <c r="G18" s="243" t="n"/>
      <c r="H18" s="244" t="n"/>
    </row>
  </sheetData>
  <mergeCells count="23">
    <mergeCell ref="C16:E16"/>
    <mergeCell ref="F18:H18"/>
    <mergeCell ref="C9:E9"/>
    <mergeCell ref="F8:H8"/>
    <mergeCell ref="F17:H17"/>
    <mergeCell ref="C11:E11"/>
    <mergeCell ref="C8:E8"/>
    <mergeCell ref="C17:E17"/>
    <mergeCell ref="F9:H9"/>
    <mergeCell ref="C7:E7"/>
    <mergeCell ref="F14:H14"/>
    <mergeCell ref="C13:H13"/>
    <mergeCell ref="C18:E18"/>
    <mergeCell ref="C15:E15"/>
    <mergeCell ref="F11:H11"/>
    <mergeCell ref="C6:H6"/>
    <mergeCell ref="F16:H16"/>
    <mergeCell ref="C14:E14"/>
    <mergeCell ref="F10:H10"/>
    <mergeCell ref="C5:H5"/>
    <mergeCell ref="F7:H7"/>
    <mergeCell ref="F15:H15"/>
    <mergeCell ref="C10:E10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K57"/>
  <sheetViews>
    <sheetView tabSelected="1" view="pageBreakPreview" zoomScaleNormal="100" zoomScaleSheetLayoutView="100" workbookViewId="0">
      <selection activeCell="AG11" sqref="AG9:AG11"/>
    </sheetView>
  </sheetViews>
  <sheetFormatPr baseColWidth="8" defaultColWidth="9.140625" defaultRowHeight="12.75"/>
  <cols>
    <col width="9.140625" customWidth="1" style="364" min="1" max="1"/>
    <col width="2.7109375" customWidth="1" style="364" min="2" max="2"/>
    <col width="2.28515625" customWidth="1" style="364" min="3" max="3"/>
    <col width="5.42578125" customWidth="1" style="364" min="4" max="4"/>
    <col width="1.85546875" customWidth="1" style="364" min="5" max="7"/>
    <col width="2.42578125" customWidth="1" style="364" min="8" max="11"/>
    <col width="2" customWidth="1" style="364" min="12" max="12"/>
    <col width="2.85546875" customWidth="1" style="364" min="13" max="13"/>
    <col width="2.5703125" customWidth="1" style="364" min="14" max="14"/>
    <col width="6.140625" customWidth="1" style="364" min="15" max="15"/>
    <col width="2.85546875" customWidth="1" style="364" min="16" max="16"/>
    <col width="2.140625" bestFit="1" customWidth="1" style="364" min="17" max="17"/>
    <col width="2.85546875" customWidth="1" style="364" min="18" max="18"/>
    <col width="3" customWidth="1" style="364" min="19" max="19"/>
    <col width="9.85546875" customWidth="1" style="364" min="20" max="20"/>
    <col width="11.7109375" customWidth="1" style="364" min="21" max="21"/>
    <col width="3.85546875" customWidth="1" style="364" min="22" max="25"/>
    <col width="6.28515625" customWidth="1" style="364" min="26" max="26"/>
    <col width="3.85546875" customWidth="1" style="364" min="27" max="29"/>
    <col width="7.85546875" customWidth="1" style="364" min="30" max="30"/>
    <col hidden="1" width="3.85546875" customWidth="1" style="364" min="31" max="31"/>
    <col width="2.42578125" customWidth="1" style="364" min="32" max="32"/>
    <col width="12.85546875" customWidth="1" style="364" min="33" max="33"/>
    <col width="3.7109375" customWidth="1" style="364" min="34" max="34"/>
    <col width="3" customWidth="1" style="364" min="35" max="36"/>
    <col width="9.140625" customWidth="1" style="364" min="37" max="110"/>
    <col width="9.140625" customWidth="1" style="364" min="111" max="16384"/>
  </cols>
  <sheetData>
    <row r="2" ht="17.1" customFormat="1" customHeight="1" s="375">
      <c r="B2" s="374" t="inlineStr">
        <is>
          <t xml:space="preserve">  LAUDO DE AVALIAÇÃO  </t>
        </is>
      </c>
    </row>
    <row r="3" ht="17.1" customFormat="1" customHeight="1" s="375">
      <c r="B3" s="51" t="n"/>
      <c r="C3" s="51" t="n"/>
      <c r="D3" s="51" t="n"/>
      <c r="E3" s="51" t="n"/>
      <c r="F3" s="51" t="n"/>
      <c r="G3" s="52" t="n"/>
      <c r="I3" s="53" t="n"/>
      <c r="J3" s="54" t="n"/>
    </row>
    <row r="4" ht="17.1" customFormat="1" customHeight="1" s="375">
      <c r="B4" s="364" t="n"/>
      <c r="C4" s="364" t="n"/>
    </row>
    <row r="5" ht="15" customHeight="1" s="236">
      <c r="P5" t="n"/>
    </row>
    <row r="6" ht="15.75" customHeight="1" s="236">
      <c r="B6" s="66" t="inlineStr">
        <is>
          <t>014 - OBSERVAÇÕES DO AVALIADOR  CÁLCULO  DA TERRA NUA</t>
        </is>
      </c>
      <c r="C6" s="64" t="n"/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55" t="n"/>
    </row>
    <row r="7" ht="12.75" customHeight="1" s="236"/>
    <row r="8" ht="15.75" customHeight="1" s="236">
      <c r="B8" s="69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69" t="inlineStr">
        <is>
          <t>Avaliação Intervalar:</t>
        </is>
      </c>
      <c r="X8" s="38" t="n"/>
      <c r="Y8" s="38" t="n"/>
      <c r="Z8" s="38" t="n"/>
      <c r="AA8" s="38" t="n"/>
      <c r="AB8" s="38" t="n"/>
      <c r="AC8" s="38" t="n"/>
      <c r="AD8" s="38" t="n"/>
    </row>
    <row r="9" ht="15" customHeight="1" s="236">
      <c r="B9" s="38" t="inlineStr">
        <is>
          <t>Área avaliada (ha)</t>
        </is>
      </c>
      <c r="C9" s="38" t="n"/>
      <c r="D9" s="38" t="n"/>
      <c r="E9" s="38" t="n"/>
      <c r="F9" s="38" t="n"/>
      <c r="G9" s="38" t="n"/>
      <c r="H9" s="38" t="inlineStr">
        <is>
          <t>x</t>
        </is>
      </c>
      <c r="I9" s="38" t="inlineStr">
        <is>
          <t xml:space="preserve">Valor homogeneizado / ha </t>
        </is>
      </c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inlineStr">
        <is>
          <t xml:space="preserve">Estimativa de tendênia Central obtido </t>
        </is>
      </c>
      <c r="X9" s="38" t="n"/>
      <c r="Y9" s="38" t="n"/>
      <c r="Z9" s="38" t="n"/>
      <c r="AA9" s="38" t="n"/>
      <c r="AB9" s="38" t="n"/>
      <c r="AC9" s="70" t="n"/>
      <c r="AD9" s="70" t="n"/>
    </row>
    <row r="10" ht="15" customHeight="1" s="236">
      <c r="B10" s="372">
        <f>AMOSTRAS!E13</f>
        <v/>
      </c>
      <c r="H10" s="38" t="inlineStr">
        <is>
          <t>x</t>
        </is>
      </c>
      <c r="I10" s="416">
        <f>IF(B10=" ","",W11)</f>
        <v/>
      </c>
      <c r="Q10" s="38" t="inlineStr">
        <is>
          <t>=</t>
        </is>
      </c>
      <c r="R10" s="417">
        <f>IF(B10=" ","",I10*B10)</f>
        <v/>
      </c>
      <c r="V10" s="38" t="n"/>
      <c r="W10" s="38" t="inlineStr">
        <is>
          <t>em planilha de Homogeneização.</t>
        </is>
      </c>
      <c r="X10" s="38" t="n"/>
      <c r="Y10" s="38" t="n"/>
      <c r="Z10" s="38" t="n"/>
      <c r="AA10" s="38" t="n"/>
      <c r="AB10" s="38" t="n"/>
      <c r="AC10" s="70" t="n"/>
      <c r="AD10" s="70" t="n"/>
    </row>
    <row r="11" ht="15" customHeight="1" s="236"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71" t="n"/>
      <c r="S11" s="71" t="n"/>
      <c r="T11" s="38" t="n"/>
      <c r="U11" s="71" t="n"/>
      <c r="V11" s="38" t="n"/>
      <c r="W11" s="417">
        <f>'PLANILHA HOMOG'!Q17</f>
        <v/>
      </c>
      <c r="AA11" s="38" t="n"/>
      <c r="AB11" s="38" t="n"/>
      <c r="AC11" s="70" t="n"/>
      <c r="AD11" s="70" t="n"/>
    </row>
    <row r="12" ht="18" customHeight="1" s="236">
      <c r="B12" s="418" t="n"/>
      <c r="C12" s="418" t="n"/>
      <c r="D12" s="418" t="n"/>
      <c r="E12" s="71" t="n"/>
      <c r="F12" s="419" t="n"/>
      <c r="G12" s="419" t="n"/>
      <c r="H12" s="72" t="n"/>
      <c r="I12" s="72" t="n"/>
      <c r="J12" s="72" t="n"/>
      <c r="K12" s="72" t="n"/>
      <c r="L12" s="73" t="n"/>
      <c r="M12" s="38" t="n"/>
      <c r="N12" s="38" t="n"/>
      <c r="O12" s="38" t="inlineStr">
        <is>
          <t>TOTAL</t>
        </is>
      </c>
      <c r="P12" s="38" t="n"/>
      <c r="Q12" s="38" t="inlineStr">
        <is>
          <t>=</t>
        </is>
      </c>
      <c r="R12" s="420">
        <f>R10</f>
        <v/>
      </c>
      <c r="V12" s="38" t="n"/>
      <c r="W12" s="38" t="n"/>
      <c r="X12" s="38" t="n"/>
      <c r="Y12" s="38" t="n"/>
      <c r="Z12" s="38" t="n"/>
      <c r="AA12" s="38" t="n"/>
      <c r="AB12" s="38" t="n"/>
      <c r="AC12" s="70" t="n"/>
      <c r="AD12" s="70" t="n"/>
    </row>
    <row r="13">
      <c r="AC13" s="56" t="n"/>
      <c r="AD13" s="56" t="n"/>
    </row>
    <row r="14">
      <c r="B14" s="52" t="inlineStr">
        <is>
          <t>Outras áreas:</t>
        </is>
      </c>
      <c r="V14" s="421" t="n"/>
      <c r="W14" s="422" t="n"/>
      <c r="AA14" s="52" t="n"/>
      <c r="AB14" s="52" t="n"/>
      <c r="AC14" s="423" t="n"/>
      <c r="AD14" s="423" t="n"/>
    </row>
    <row r="15">
      <c r="B15" s="364" t="inlineStr">
        <is>
          <t>Especificar Área (ha)</t>
        </is>
      </c>
      <c r="H15" s="364" t="inlineStr">
        <is>
          <t>x</t>
        </is>
      </c>
      <c r="I15" s="364" t="inlineStr">
        <is>
          <t xml:space="preserve">Valor homogeneizado / ha </t>
        </is>
      </c>
      <c r="V15" s="421" t="n"/>
      <c r="W15" s="421" t="n"/>
      <c r="X15" s="421" t="n"/>
      <c r="Y15" s="421" t="n"/>
      <c r="AA15" s="60" t="n"/>
      <c r="AB15" s="60" t="n"/>
      <c r="AC15" s="424" t="n"/>
      <c r="AD15" s="424" t="n"/>
    </row>
    <row r="16">
      <c r="B16" s="379" t="inlineStr">
        <is>
          <t xml:space="preserve"> </t>
        </is>
      </c>
      <c r="H16" s="364" t="inlineStr">
        <is>
          <t>x</t>
        </is>
      </c>
      <c r="I16" s="425">
        <f>IF(B16=" ","",W11)</f>
        <v/>
      </c>
      <c r="Q16" s="364" t="inlineStr">
        <is>
          <t>=</t>
        </is>
      </c>
      <c r="R16" s="422">
        <f>IF(B16=" ","",I16*B16)</f>
        <v/>
      </c>
      <c r="V16" s="421" t="n"/>
      <c r="AA16" s="60" t="n"/>
      <c r="AB16" s="60" t="n"/>
      <c r="AC16" s="424" t="n"/>
      <c r="AD16" s="424" t="n"/>
    </row>
    <row r="17">
      <c r="R17" s="57" t="n"/>
      <c r="S17" s="57" t="n"/>
      <c r="U17" s="57" t="n"/>
      <c r="V17" s="421" t="n"/>
      <c r="W17" s="422" t="n"/>
      <c r="AA17" s="60" t="n"/>
      <c r="AB17" s="60" t="n"/>
      <c r="AC17" s="424" t="n"/>
      <c r="AD17" s="424" t="n"/>
    </row>
    <row r="18">
      <c r="B18" s="426" t="n"/>
      <c r="C18" s="426" t="n"/>
      <c r="D18" s="426" t="n"/>
      <c r="E18" s="57" t="n"/>
      <c r="F18" s="427" t="n"/>
      <c r="G18" s="427" t="n"/>
      <c r="H18" s="58" t="n"/>
      <c r="I18" s="58" t="n"/>
      <c r="J18" s="58" t="n"/>
      <c r="K18" s="58" t="n"/>
      <c r="L18" s="59" t="n"/>
      <c r="O18" s="364" t="inlineStr">
        <is>
          <t>TOTAL</t>
        </is>
      </c>
      <c r="Q18" s="364" t="inlineStr">
        <is>
          <t>=</t>
        </is>
      </c>
      <c r="R18" s="428">
        <f>R16</f>
        <v/>
      </c>
      <c r="V18" s="421" t="n"/>
      <c r="W18" s="421" t="n"/>
      <c r="X18" s="421" t="n"/>
      <c r="Y18" s="421" t="n"/>
      <c r="AA18" s="60" t="n"/>
      <c r="AB18" s="60" t="n"/>
      <c r="AC18" s="424" t="n"/>
      <c r="AD18" s="424" t="n"/>
    </row>
    <row r="19"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U19" s="421" t="n"/>
      <c r="V19" s="421" t="n"/>
      <c r="W19" s="421" t="n"/>
      <c r="X19" s="421" t="n"/>
      <c r="Y19" s="421" t="n"/>
      <c r="AA19" s="60" t="n"/>
      <c r="AB19" s="60" t="n"/>
      <c r="AC19" s="424" t="n"/>
      <c r="AD19" s="424" t="n"/>
    </row>
    <row r="20" ht="15.75" customHeight="1" s="236">
      <c r="B20" s="66" t="inlineStr">
        <is>
          <t>015 - RESUMO DOS VALORES</t>
        </is>
      </c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55" t="n"/>
      <c r="AK20" s="426" t="n"/>
    </row>
    <row r="21" ht="16.5" customHeight="1" s="236"/>
    <row r="22" ht="13.5" customFormat="1" customHeight="1" s="362">
      <c r="B22" s="362" t="inlineStr">
        <is>
          <t>15.1 - ÁREA AVALIADA.................................................................................................................</t>
        </is>
      </c>
      <c r="V22" s="362" t="inlineStr">
        <is>
          <t>R$</t>
        </is>
      </c>
      <c r="W22" s="429">
        <f>R12</f>
        <v/>
      </c>
    </row>
    <row r="23" ht="13.5" customFormat="1" customHeight="1" s="362">
      <c r="B23" s="362" t="inlineStr">
        <is>
          <t>15.2 - OUTRAS ÁREAS - ESPECIFICAR...................................................................................................................................</t>
        </is>
      </c>
      <c r="V23" s="362" t="inlineStr">
        <is>
          <t>R$</t>
        </is>
      </c>
      <c r="W23" s="430">
        <f>R16</f>
        <v/>
      </c>
    </row>
    <row r="24" ht="13.5" customFormat="1" customHeight="1" s="366">
      <c r="B24" s="366" t="inlineStr">
        <is>
          <t>15.3 - SUB-TOTAL (01)...................................................................................................................................</t>
        </is>
      </c>
      <c r="V24" s="366" t="inlineStr">
        <is>
          <t>R$</t>
        </is>
      </c>
      <c r="W24" s="431">
        <f>SUM(W22:W23)</f>
        <v/>
      </c>
    </row>
    <row r="25" ht="13.5" customFormat="1" customHeight="1" s="362">
      <c r="B25" s="362" t="inlineStr">
        <is>
          <t>15.4 - QUADRO 12.1 - CULTURAS PERMANENTES.........................................................................................</t>
        </is>
      </c>
      <c r="V25" s="362" t="inlineStr">
        <is>
          <t>R$</t>
        </is>
      </c>
      <c r="W25" s="430">
        <f>'LAUDO DE AVALIAÇÃO 12-12.4'!H9</f>
        <v/>
      </c>
    </row>
    <row r="26" ht="13.5" customFormat="1" customHeight="1" s="362">
      <c r="B26" s="362" t="inlineStr">
        <is>
          <t>15.5 - QUADRO 12.2 - CULTURAS TEMPORÁRIAS............................................................................................................................</t>
        </is>
      </c>
      <c r="V26" s="362" t="inlineStr">
        <is>
          <t>R$</t>
        </is>
      </c>
      <c r="W26" s="430">
        <f>'LAUDO DE AVALIAÇÃO 12-12.4'!H14</f>
        <v/>
      </c>
    </row>
    <row r="27" ht="13.5" customFormat="1" customHeight="1" s="362">
      <c r="B27" s="362" t="inlineStr">
        <is>
          <t>15.6 - QUADRO 12.3 - PASTAGENS ARTIFICIAIS..................................................................................................................................</t>
        </is>
      </c>
      <c r="V27" s="362" t="inlineStr">
        <is>
          <t>R$</t>
        </is>
      </c>
      <c r="W27" s="430">
        <f>'LAUDO DE AVALIAÇÃO 12-12.4'!H19</f>
        <v/>
      </c>
    </row>
    <row r="28" ht="13.5" customFormat="1" customHeight="1" s="362">
      <c r="B28" s="362" t="inlineStr">
        <is>
          <t>15.7 - QUADRO 12.4 - EXTRATIVISMO..................................................................................................................................</t>
        </is>
      </c>
      <c r="V28" s="362" t="inlineStr">
        <is>
          <t>R$</t>
        </is>
      </c>
      <c r="W28" s="430">
        <f>'LAUDO DE AVALIAÇÃO 12-12.4'!H24</f>
        <v/>
      </c>
    </row>
    <row r="29" ht="13.5" customFormat="1" customHeight="1" s="362">
      <c r="B29" s="362" t="inlineStr">
        <is>
          <t>15.8 - QUADRO 13 - BENFEITORIAS NÃO REPRODUTIVAS..........................................................................................................</t>
        </is>
      </c>
      <c r="V29" s="362" t="inlineStr">
        <is>
          <t>R$</t>
        </is>
      </c>
      <c r="W29" s="430">
        <f>'LAUDO DE AVALIAÇÃO 13'!G8</f>
        <v/>
      </c>
    </row>
    <row r="30" ht="13.5" customFormat="1" customHeight="1" s="366">
      <c r="B30" s="366" t="inlineStr">
        <is>
          <t>15.9 - SUB-TOTAL (02)..................................................................................................................................</t>
        </is>
      </c>
      <c r="V30" s="366" t="inlineStr">
        <is>
          <t>R$</t>
        </is>
      </c>
      <c r="W30" s="377">
        <f>SUM(W25:Z29)</f>
        <v/>
      </c>
      <c r="AG30" s="362" t="n"/>
    </row>
    <row r="31" ht="13.5" customFormat="1" customHeight="1" s="366">
      <c r="B31" s="366" t="inlineStr">
        <is>
          <t>15.10 - TOTAL (1+2)................................................................................................................................................................</t>
        </is>
      </c>
      <c r="V31" s="62" t="inlineStr">
        <is>
          <t>R$</t>
        </is>
      </c>
      <c r="W31" s="432">
        <f>W30+W24</f>
        <v/>
      </c>
      <c r="AG31" s="433" t="n"/>
    </row>
    <row r="32" ht="11.25" customFormat="1" customHeight="1" s="362">
      <c r="B32" s="362" t="inlineStr">
        <is>
          <t>15.11 - MÊS BASE DA AVALIAÇÃO</t>
        </is>
      </c>
      <c r="K32" s="378" t="n">
        <v>43009</v>
      </c>
      <c r="AG32" s="433" t="n"/>
    </row>
    <row r="33" ht="17.25" customFormat="1" customHeight="1" s="366">
      <c r="O33" s="365" t="inlineStr">
        <is>
          <t>Limite Inferior (estimativa -10%)</t>
        </is>
      </c>
      <c r="W33" s="434" t="inlineStr">
        <is>
          <t>Limite Superior (estimativa +10%)</t>
        </is>
      </c>
      <c r="X33" s="292" t="n"/>
      <c r="Y33" s="292" t="n"/>
      <c r="Z33" s="292" t="n"/>
      <c r="AA33" s="292" t="n"/>
      <c r="AB33" s="292" t="n"/>
      <c r="AC33" s="292" t="n"/>
      <c r="AD33" s="292" t="n"/>
      <c r="AG33" s="63" t="n"/>
    </row>
    <row r="34" ht="19.5" customFormat="1" customHeight="1" s="362">
      <c r="O34" s="38" t="n"/>
      <c r="P34" s="38" t="n"/>
      <c r="Q34" s="435">
        <f>W31*0.9</f>
        <v/>
      </c>
      <c r="U34" s="38" t="n"/>
      <c r="V34" s="38" t="n"/>
      <c r="W34" s="38" t="n"/>
      <c r="X34" s="38" t="n"/>
      <c r="Y34" s="435">
        <f>W31*1.1</f>
        <v/>
      </c>
      <c r="AC34" s="38" t="n"/>
      <c r="AD34" s="38" t="n"/>
      <c r="AG34" s="366" t="n"/>
      <c r="AH34" s="366" t="n"/>
      <c r="AI34" s="366" t="n"/>
      <c r="AJ34" s="366" t="n"/>
      <c r="AK34" s="366" t="n"/>
    </row>
    <row r="35" ht="19.5" customFormat="1" customHeight="1" s="362">
      <c r="Q35" s="436" t="n"/>
      <c r="R35" s="67" t="n"/>
      <c r="S35" s="67" t="n"/>
      <c r="T35" s="67" t="n"/>
      <c r="Y35" s="436" t="n"/>
      <c r="Z35" s="67" t="n"/>
      <c r="AA35" s="67" t="n"/>
      <c r="AB35" s="67" t="n"/>
      <c r="AG35" s="366" t="n"/>
      <c r="AH35" s="366" t="n"/>
      <c r="AI35" s="366" t="n"/>
      <c r="AJ35" s="366" t="n"/>
      <c r="AK35" s="366" t="n"/>
    </row>
    <row r="36" ht="15.75" customHeight="1" s="236">
      <c r="B36" s="66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55" t="n"/>
      <c r="AG36" s="366" t="n"/>
      <c r="AH36" s="366" t="n"/>
      <c r="AI36" s="366" t="n"/>
      <c r="AJ36" s="366" t="n"/>
      <c r="AK36" s="366" t="n"/>
    </row>
    <row r="37" ht="10.5" customHeight="1" s="236"/>
    <row r="38" ht="14.25" customHeight="1" s="236">
      <c r="B38" s="370" t="n"/>
    </row>
    <row r="39" ht="14.25" customHeight="1" s="236">
      <c r="B39" s="370" t="n"/>
    </row>
    <row r="40" ht="14.25" customHeight="1" s="236">
      <c r="B40" s="370" t="n"/>
    </row>
    <row r="41" ht="14.25" customHeight="1" s="236">
      <c r="B41" s="370" t="n"/>
    </row>
    <row r="42" ht="14.25" customHeight="1" s="236">
      <c r="B42" s="370" t="n"/>
    </row>
    <row r="43" ht="14.25" customHeight="1" s="236">
      <c r="B43" s="370" t="n"/>
    </row>
    <row r="44" ht="14.25" customHeight="1" s="236">
      <c r="B44" s="370" t="n"/>
    </row>
    <row r="45" ht="15" customHeight="1" s="236">
      <c r="B45" s="68" t="n"/>
    </row>
    <row r="46" ht="15.75" customHeight="1" s="236">
      <c r="B46" s="66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</row>
    <row r="47" ht="15.75" customHeight="1" s="236">
      <c r="B47" s="66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</row>
    <row r="48" ht="14.25" customHeight="1" s="236"/>
    <row r="49" ht="13.5" customHeight="1" s="236">
      <c r="E49" s="386" t="n"/>
      <c r="I49" s="65" t="n"/>
      <c r="J49" s="65" t="n"/>
      <c r="K49" s="65" t="n"/>
      <c r="L49" s="65" t="n"/>
      <c r="M49" s="65" t="n"/>
      <c r="N49" s="65" t="n"/>
      <c r="O49" s="65" t="n"/>
      <c r="P49" s="65" t="n"/>
    </row>
    <row r="50" ht="13.5" customHeight="1" s="236">
      <c r="H50" s="383" t="n"/>
      <c r="I50" s="383" t="n"/>
      <c r="J50" s="383" t="n"/>
      <c r="K50" s="383" t="n"/>
      <c r="L50" s="383" t="n"/>
      <c r="M50" s="383" t="n"/>
      <c r="N50" s="383" t="n"/>
      <c r="O50" s="383" t="n"/>
      <c r="P50" s="383" t="n"/>
    </row>
    <row r="51" ht="11.25" customHeight="1" s="236"/>
    <row r="52" ht="14.25" customHeight="1" s="236">
      <c r="H52" s="368" t="n"/>
      <c r="I52" s="292" t="n"/>
      <c r="J52" s="292" t="n"/>
      <c r="K52" s="292" t="n"/>
      <c r="L52" s="292" t="n"/>
      <c r="M52" s="292" t="n"/>
      <c r="N52" s="292" t="n"/>
      <c r="O52" s="292" t="n"/>
      <c r="P52" s="292" t="n"/>
    </row>
    <row r="53" ht="6.75" customHeight="1" s="236"/>
    <row r="54" ht="12.75" customHeight="1" s="236"/>
    <row r="55" ht="13.5" customHeight="1" s="236">
      <c r="H55" s="383" t="n"/>
      <c r="I55" s="292" t="n"/>
      <c r="J55" s="292" t="n"/>
      <c r="K55" s="292" t="n"/>
      <c r="L55" s="292" t="n"/>
      <c r="M55" s="292" t="n"/>
      <c r="N55" s="292" t="n"/>
      <c r="O55" s="292" t="n"/>
      <c r="P55" s="292" t="n"/>
    </row>
    <row r="56" ht="4.5" customHeight="1" s="236"/>
    <row r="57" ht="14.25" customHeight="1" s="236">
      <c r="H57" s="368" t="n"/>
      <c r="I57" s="292" t="n"/>
      <c r="J57" s="292" t="n"/>
      <c r="K57" s="292" t="n"/>
      <c r="L57" s="292" t="n"/>
      <c r="M57" s="292" t="n"/>
      <c r="N57" s="292" t="n"/>
      <c r="O57" s="292" t="n"/>
      <c r="P57" s="292" t="n"/>
    </row>
    <row r="58" ht="6.75" customHeight="1" s="236"/>
  </sheetData>
  <mergeCells count="38">
    <mergeCell ref="W27:Z27"/>
    <mergeCell ref="W17:Z17"/>
    <mergeCell ref="O33:V33"/>
    <mergeCell ref="H52:P52"/>
    <mergeCell ref="W11:Z11"/>
    <mergeCell ref="W33:AD33"/>
    <mergeCell ref="W29:Z29"/>
    <mergeCell ref="W23:Z23"/>
    <mergeCell ref="B43:C43"/>
    <mergeCell ref="B39:C39"/>
    <mergeCell ref="W14:Z14"/>
    <mergeCell ref="R18:U18"/>
    <mergeCell ref="W28:Z28"/>
    <mergeCell ref="B10:G10"/>
    <mergeCell ref="H57:P57"/>
    <mergeCell ref="B42:C42"/>
    <mergeCell ref="I16:P16"/>
    <mergeCell ref="W25:Z25"/>
    <mergeCell ref="B2:AD2"/>
    <mergeCell ref="R10:U10"/>
    <mergeCell ref="W24:Z24"/>
    <mergeCell ref="B38:C38"/>
    <mergeCell ref="B44:C44"/>
    <mergeCell ref="R16:U16"/>
    <mergeCell ref="W30:Z30"/>
    <mergeCell ref="W26:Z26"/>
    <mergeCell ref="B40:C40"/>
    <mergeCell ref="K32:Z32"/>
    <mergeCell ref="B16:G16"/>
    <mergeCell ref="R12:U12"/>
    <mergeCell ref="W31:Z31"/>
    <mergeCell ref="W22:Z22"/>
    <mergeCell ref="H55:P55"/>
    <mergeCell ref="Y34:AB34"/>
    <mergeCell ref="I10:P10"/>
    <mergeCell ref="Q34:T34"/>
    <mergeCell ref="B41:C41"/>
    <mergeCell ref="E49:H49"/>
  </mergeCells>
  <conditionalFormatting sqref="B10:G10 B16:G16">
    <cfRule type="cellIs" priority="2" operator="equal" dxfId="0" stopIfTrue="1">
      <formula>" "</formula>
    </cfRule>
  </conditionalFormatting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1"/>
  <colBreaks count="2" manualBreakCount="2">
    <brk id="33" min="0" max="1048575" man="1"/>
    <brk id="34" min="0" max="1048575" man="1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4"/>
  <sheetViews>
    <sheetView view="pageBreakPreview" topLeftCell="A2" zoomScaleNormal="100" zoomScaleSheetLayoutView="100" workbookViewId="0">
      <selection activeCell="H24" sqref="H24"/>
    </sheetView>
  </sheetViews>
  <sheetFormatPr baseColWidth="8" defaultColWidth="9.140625" defaultRowHeight="12.75"/>
  <cols>
    <col width="9.140625" customWidth="1" style="400" min="1" max="1"/>
    <col width="35.7109375" customWidth="1" style="400" min="2" max="2"/>
    <col width="11.42578125" customWidth="1" style="400" min="3" max="3"/>
    <col width="16.42578125" customWidth="1" style="400" min="4" max="4"/>
    <col width="9.7109375" bestFit="1" customWidth="1" style="400" min="5" max="5"/>
    <col width="15.7109375" customWidth="1" style="400" min="6" max="6"/>
    <col width="10.140625" customWidth="1" style="400" min="7" max="7"/>
    <col width="14.28515625" customWidth="1" style="400" min="8" max="8"/>
    <col width="9.140625" customWidth="1" style="400" min="9" max="82"/>
    <col width="9.140625" customWidth="1" style="400" min="83" max="16384"/>
  </cols>
  <sheetData>
    <row r="1" ht="17.1" customHeight="1" s="236">
      <c r="B1" s="402" t="inlineStr">
        <is>
          <t xml:space="preserve">  LAUDO DE AVALIAÇÃO  </t>
        </is>
      </c>
      <c r="C1" s="403" t="n"/>
      <c r="D1" s="403" t="n"/>
      <c r="E1" s="403" t="n"/>
      <c r="F1" s="403" t="n"/>
      <c r="G1" s="403" t="n"/>
      <c r="H1" s="404" t="n"/>
    </row>
    <row r="2" ht="17.1" customHeight="1" s="236">
      <c r="B2" s="399" t="n"/>
      <c r="H2" s="401" t="n"/>
      <c r="K2" s="6" t="n"/>
      <c r="L2" s="7" t="n"/>
    </row>
    <row r="3" ht="17.1" customHeight="1" s="236">
      <c r="B3" s="39" t="n"/>
      <c r="C3" s="2" t="n"/>
      <c r="D3" s="2" t="n"/>
      <c r="E3" s="2" t="n"/>
      <c r="G3" s="5" t="n"/>
      <c r="H3" s="40" t="n"/>
    </row>
    <row r="4">
      <c r="B4" s="41" t="inlineStr">
        <is>
          <t>12 - BENFEITORIAS REPRODUTIVAS</t>
        </is>
      </c>
      <c r="C4" s="2" t="n"/>
      <c r="D4" s="2" t="n"/>
      <c r="E4" s="2" t="n"/>
      <c r="F4" s="3" t="n"/>
      <c r="G4" s="3" t="n"/>
      <c r="H4" s="42" t="n"/>
    </row>
    <row r="5">
      <c r="B5" s="43" t="inlineStr">
        <is>
          <t>12.1 - CULTURAS PERMANENTES</t>
        </is>
      </c>
      <c r="C5" s="8" t="n"/>
      <c r="D5" s="3" t="n"/>
      <c r="E5" s="3" t="n"/>
      <c r="F5" s="3" t="n"/>
      <c r="G5" s="3" t="n"/>
      <c r="H5" s="44" t="n"/>
    </row>
    <row r="6" ht="12.75" customFormat="1" customHeight="1" s="9">
      <c r="B6" s="392" t="inlineStr">
        <is>
          <t>DISCRIMINAÇÃO (A)</t>
        </is>
      </c>
      <c r="C6" s="394" t="inlineStr">
        <is>
          <t>IDADE (B)</t>
        </is>
      </c>
      <c r="D6" s="390" t="inlineStr">
        <is>
          <t>ESTADO FITOSSANITÁRIO (C)</t>
        </is>
      </c>
      <c r="E6" s="396" t="inlineStr">
        <is>
          <t>UNIDADE (E)</t>
        </is>
      </c>
      <c r="F6" s="396" t="inlineStr">
        <is>
          <t>QUANTIDADE (D)</t>
        </is>
      </c>
      <c r="G6" s="387" t="inlineStr">
        <is>
          <t>VALORES  EM  REAIS</t>
        </is>
      </c>
      <c r="H6" s="388" t="n"/>
    </row>
    <row r="7" ht="22.5" customFormat="1" customHeight="1" s="9">
      <c r="B7" s="393" t="n"/>
      <c r="C7" s="391" t="n"/>
      <c r="D7" s="391" t="n"/>
      <c r="E7" s="253" t="n"/>
      <c r="F7" s="253" t="n"/>
      <c r="G7" s="163" t="inlineStr">
        <is>
          <t>UNITÁRIO</t>
        </is>
      </c>
      <c r="H7" s="45" t="inlineStr">
        <is>
          <t>TOTAL</t>
        </is>
      </c>
    </row>
    <row r="8">
      <c r="B8" s="46" t="n"/>
      <c r="C8" s="35" t="n"/>
      <c r="D8" s="36" t="n"/>
      <c r="E8" s="37" t="n"/>
      <c r="F8" s="10" t="n"/>
      <c r="G8" s="11" t="n"/>
      <c r="H8" s="437">
        <f>TRUNC(F8*G8,2)</f>
        <v/>
      </c>
    </row>
    <row r="9">
      <c r="B9" s="389" t="inlineStr">
        <is>
          <t>TOTAL</t>
        </is>
      </c>
      <c r="C9" s="243" t="n"/>
      <c r="D9" s="243" t="n"/>
      <c r="E9" s="243" t="n"/>
      <c r="F9" s="243" t="n"/>
      <c r="G9" s="244" t="n"/>
      <c r="H9" s="438">
        <f>TRUNC(SUM(H8:H8),2)</f>
        <v/>
      </c>
    </row>
    <row r="10">
      <c r="B10" s="47" t="inlineStr">
        <is>
          <t>12.2 - CULTURAS TEMPORÁRIAS</t>
        </is>
      </c>
      <c r="C10" s="15" t="n"/>
      <c r="D10" s="2" t="n"/>
      <c r="E10" s="2" t="n"/>
      <c r="F10" s="2" t="n"/>
      <c r="G10" s="2" t="n"/>
      <c r="H10" s="48" t="n"/>
    </row>
    <row r="11" ht="12.75" customHeight="1" s="236">
      <c r="B11" s="392" t="inlineStr">
        <is>
          <t>DISCRIMINAÇÃO (A)</t>
        </is>
      </c>
      <c r="C11" s="394" t="inlineStr">
        <is>
          <t>IDADE (B)</t>
        </is>
      </c>
      <c r="D11" s="390" t="inlineStr">
        <is>
          <t>ESTADO FITOSSANITÁRIO (C)</t>
        </is>
      </c>
      <c r="E11" s="395" t="inlineStr">
        <is>
          <t>UNIDADE ©</t>
        </is>
      </c>
      <c r="F11" s="395" t="inlineStr">
        <is>
          <t>QUANTIDADE (D)</t>
        </is>
      </c>
      <c r="G11" s="387" t="inlineStr">
        <is>
          <t>VALORES  EM  REAIS</t>
        </is>
      </c>
      <c r="H11" s="388" t="n"/>
    </row>
    <row r="12" ht="22.5" customHeight="1" s="236">
      <c r="B12" s="393" t="n"/>
      <c r="C12" s="391" t="n"/>
      <c r="D12" s="391" t="n"/>
      <c r="E12" s="253" t="n"/>
      <c r="F12" s="253" t="n"/>
      <c r="G12" s="163" t="inlineStr">
        <is>
          <t>UNITÁRIO</t>
        </is>
      </c>
      <c r="H12" s="45" t="inlineStr">
        <is>
          <t>TOTAL</t>
        </is>
      </c>
    </row>
    <row r="13">
      <c r="B13" s="49" t="n"/>
      <c r="C13" s="16" t="n"/>
      <c r="D13" s="439" t="n"/>
      <c r="E13" s="17" t="n"/>
      <c r="F13" s="17" t="n"/>
      <c r="G13" s="18" t="n"/>
      <c r="H13" s="437">
        <f>TRUNC(F13*G13,2)</f>
        <v/>
      </c>
    </row>
    <row r="14">
      <c r="B14" s="389" t="inlineStr">
        <is>
          <t>TOTAL</t>
        </is>
      </c>
      <c r="C14" s="243" t="n"/>
      <c r="D14" s="243" t="n"/>
      <c r="E14" s="243" t="n"/>
      <c r="F14" s="243" t="n"/>
      <c r="G14" s="244" t="n"/>
      <c r="H14" s="440">
        <f>TRUNC(SUM(H13:H13),2)</f>
        <v/>
      </c>
    </row>
    <row r="15">
      <c r="B15" s="47" t="inlineStr">
        <is>
          <t xml:space="preserve">12.3 - PASTAGENS </t>
        </is>
      </c>
      <c r="C15" s="15" t="n"/>
      <c r="D15" s="2" t="n"/>
      <c r="E15" s="2" t="n"/>
      <c r="F15" s="2" t="n"/>
      <c r="G15" s="2" t="n"/>
      <c r="H15" s="42" t="n"/>
    </row>
    <row r="16" ht="12.75" customHeight="1" s="236">
      <c r="B16" s="392" t="inlineStr">
        <is>
          <t>DISCRIMINAÇÃO (A)</t>
        </is>
      </c>
      <c r="C16" s="394" t="inlineStr">
        <is>
          <t>DEPRECIAÇÃO</t>
        </is>
      </c>
      <c r="D16" s="390" t="inlineStr">
        <is>
          <t>ESTADO FITOSSANITÁRIO (C)</t>
        </is>
      </c>
      <c r="E16" s="395" t="inlineStr">
        <is>
          <t>UNIDADE ©</t>
        </is>
      </c>
      <c r="F16" s="395" t="inlineStr">
        <is>
          <t>QUANTIDADE (D)</t>
        </is>
      </c>
      <c r="G16" s="387" t="inlineStr">
        <is>
          <t>VALORES  EM  REAIS</t>
        </is>
      </c>
      <c r="H16" s="388" t="n"/>
    </row>
    <row r="17" ht="21" customHeight="1" s="236">
      <c r="B17" s="393" t="n"/>
      <c r="C17" s="391" t="n"/>
      <c r="D17" s="391" t="n"/>
      <c r="E17" s="253" t="n"/>
      <c r="F17" s="253" t="n"/>
      <c r="G17" s="394" t="inlineStr">
        <is>
          <t>UNITÁRIO</t>
        </is>
      </c>
      <c r="H17" s="45" t="inlineStr">
        <is>
          <t>TOTAL</t>
        </is>
      </c>
    </row>
    <row r="18" customFormat="1" s="9">
      <c r="B18" s="74" t="inlineStr">
        <is>
          <t>area de pastagem andropólgon</t>
        </is>
      </c>
      <c r="C18" s="12" t="n"/>
      <c r="D18" s="441" t="n"/>
      <c r="E18" s="75" t="n"/>
      <c r="F18" s="14" t="n"/>
      <c r="G18" s="13" t="n"/>
      <c r="H18" s="437">
        <f>TRUNC(F18*G18,2)</f>
        <v/>
      </c>
    </row>
    <row r="19">
      <c r="B19" s="389" t="inlineStr">
        <is>
          <t>TOTAL</t>
        </is>
      </c>
      <c r="C19" s="243" t="n"/>
      <c r="D19" s="243" t="n"/>
      <c r="E19" s="243" t="n"/>
      <c r="F19" s="243" t="n"/>
      <c r="G19" s="244" t="n"/>
      <c r="H19" s="442">
        <f>TRUNC(SUM(H18:H18),2)</f>
        <v/>
      </c>
    </row>
    <row r="20">
      <c r="B20" s="47" t="inlineStr">
        <is>
          <t>12.4 - EXTRATIVISMO</t>
        </is>
      </c>
      <c r="C20" s="15" t="n"/>
      <c r="D20" s="2" t="n"/>
      <c r="E20" s="2" t="n"/>
      <c r="F20" s="2" t="n"/>
      <c r="G20" s="2" t="n"/>
      <c r="H20" s="42" t="n"/>
    </row>
    <row r="21" ht="12.75" customHeight="1" s="236">
      <c r="B21" s="392" t="inlineStr">
        <is>
          <t>DISCRIMINAÇÃO (A)</t>
        </is>
      </c>
      <c r="C21" s="394" t="inlineStr">
        <is>
          <t>IDADE (B)</t>
        </is>
      </c>
      <c r="D21" s="390" t="inlineStr">
        <is>
          <t>ESTADO FITOSSANITÁRIO (C)</t>
        </is>
      </c>
      <c r="E21" s="395" t="inlineStr">
        <is>
          <t>UNIDADE ©</t>
        </is>
      </c>
      <c r="F21" s="395" t="inlineStr">
        <is>
          <t>QUANTIDADE (D)</t>
        </is>
      </c>
      <c r="G21" s="387" t="inlineStr">
        <is>
          <t>VALORES  EM  REAIS</t>
        </is>
      </c>
      <c r="H21" s="388" t="n"/>
    </row>
    <row r="22" ht="21.75" customHeight="1" s="236">
      <c r="B22" s="393" t="n"/>
      <c r="C22" s="391" t="n"/>
      <c r="D22" s="391" t="n"/>
      <c r="E22" s="253" t="n"/>
      <c r="F22" s="253" t="n"/>
      <c r="G22" s="163" t="inlineStr">
        <is>
          <t>UNITÁRIO</t>
        </is>
      </c>
      <c r="H22" s="45" t="inlineStr">
        <is>
          <t>TOTAL</t>
        </is>
      </c>
    </row>
    <row r="23">
      <c r="B23" s="50" t="n"/>
      <c r="C23" s="19" t="n"/>
      <c r="D23" s="20" t="n"/>
      <c r="E23" s="21" t="n"/>
      <c r="F23" s="21" t="n"/>
      <c r="G23" s="22" t="n"/>
      <c r="H23" s="437">
        <f>TRUNC(F23*G23,2)</f>
        <v/>
      </c>
    </row>
    <row r="24" ht="13.5" customHeight="1" s="236" thickBot="1">
      <c r="B24" s="397" t="inlineStr">
        <is>
          <t>TOTAL</t>
        </is>
      </c>
      <c r="C24" s="398" t="n"/>
      <c r="D24" s="398" t="n"/>
      <c r="E24" s="398" t="n"/>
      <c r="F24" s="398" t="n"/>
      <c r="G24" s="335" t="n"/>
      <c r="H24" s="443" t="n"/>
    </row>
  </sheetData>
  <mergeCells count="30">
    <mergeCell ref="G21:H21"/>
    <mergeCell ref="B14:G14"/>
    <mergeCell ref="G11:H11"/>
    <mergeCell ref="D21:D22"/>
    <mergeCell ref="B11:B12"/>
    <mergeCell ref="D11:D12"/>
    <mergeCell ref="C16:C17"/>
    <mergeCell ref="B19:G19"/>
    <mergeCell ref="F21:F22"/>
    <mergeCell ref="B9:G9"/>
    <mergeCell ref="C21:C22"/>
    <mergeCell ref="D16:D17"/>
    <mergeCell ref="E6:E7"/>
    <mergeCell ref="G6:H6"/>
    <mergeCell ref="C11:C12"/>
    <mergeCell ref="E11:E12"/>
    <mergeCell ref="B6:B7"/>
    <mergeCell ref="B24:G24"/>
    <mergeCell ref="B2:H2"/>
    <mergeCell ref="E16:E17"/>
    <mergeCell ref="F11:F12"/>
    <mergeCell ref="B1:H1"/>
    <mergeCell ref="G16:H16"/>
    <mergeCell ref="E21:E22"/>
    <mergeCell ref="B16:B17"/>
    <mergeCell ref="C6:C7"/>
    <mergeCell ref="D6:D7"/>
    <mergeCell ref="F16:F17"/>
    <mergeCell ref="B21:B22"/>
    <mergeCell ref="F6:F7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8"/>
  <sheetViews>
    <sheetView view="pageBreakPreview" zoomScale="145" zoomScaleNormal="100" zoomScaleSheetLayoutView="145" workbookViewId="0">
      <selection activeCell="F13" sqref="F13"/>
    </sheetView>
  </sheetViews>
  <sheetFormatPr baseColWidth="8" defaultColWidth="9.140625" defaultRowHeight="12.75"/>
  <cols>
    <col width="9.140625" customWidth="1" style="24" min="1" max="1"/>
    <col width="58.42578125" customWidth="1" style="24" min="2" max="2"/>
    <col width="6.7109375" customWidth="1" style="24" min="3" max="3"/>
    <col width="7.85546875" customWidth="1" style="24" min="4" max="4"/>
    <col width="8.85546875" customWidth="1" style="24" min="5" max="5"/>
    <col width="10.140625" customWidth="1" style="24" min="6" max="6"/>
    <col width="12.7109375" customWidth="1" style="24" min="7" max="7"/>
    <col width="9.140625" customWidth="1" style="24" min="8" max="81"/>
    <col width="9.140625" customWidth="1" style="24" min="82" max="16384"/>
  </cols>
  <sheetData>
    <row r="1" ht="17.1" customFormat="1" customHeight="1" s="400">
      <c r="B1" s="407" t="inlineStr">
        <is>
          <t xml:space="preserve">  LAUDO DE AVALIAÇÃO  </t>
        </is>
      </c>
      <c r="H1" s="32" t="n"/>
      <c r="I1" s="32" t="n"/>
    </row>
    <row r="2" ht="17.1" customFormat="1" customHeight="1" s="400">
      <c r="B2" s="34" t="n"/>
      <c r="C2" s="34" t="n"/>
      <c r="D2" s="34" t="n"/>
      <c r="E2" s="34" t="n"/>
      <c r="F2" s="34" t="n"/>
      <c r="G2" s="34" t="n"/>
      <c r="H2" s="33" t="n"/>
      <c r="I2" s="33" t="n"/>
      <c r="L2" s="6" t="n"/>
      <c r="M2" s="7" t="n"/>
    </row>
    <row r="3" ht="17.1" customFormat="1" customHeight="1" s="400">
      <c r="B3" s="1" t="n"/>
      <c r="C3" s="1" t="n"/>
      <c r="D3" s="1" t="n"/>
      <c r="E3" s="1" t="n"/>
      <c r="I3" s="4" t="n"/>
    </row>
    <row r="4" ht="13.5" customHeight="1" s="236">
      <c r="B4" s="408" t="inlineStr">
        <is>
          <t>13 - BENFEITORIAS NÃO REPRODUTIVAS</t>
        </is>
      </c>
      <c r="C4" s="243" t="n"/>
      <c r="D4" s="243" t="n"/>
      <c r="E4" s="243" t="n"/>
      <c r="F4" s="243" t="n"/>
      <c r="G4" s="244" t="n"/>
      <c r="H4" s="23" t="n"/>
    </row>
    <row r="5">
      <c r="B5" s="409" t="inlineStr">
        <is>
          <t>DISCRIMINAÇÃO</t>
        </is>
      </c>
      <c r="C5" s="405" t="inlineStr">
        <is>
          <t>UNID.</t>
        </is>
      </c>
      <c r="D5" s="405" t="inlineStr">
        <is>
          <t>DEPREC.</t>
        </is>
      </c>
      <c r="E5" s="405" t="inlineStr">
        <is>
          <t>QUANT.</t>
        </is>
      </c>
      <c r="F5" s="406" t="inlineStr">
        <is>
          <t>VALOR EM R$ REAIS</t>
        </is>
      </c>
      <c r="G5" s="243" t="n"/>
      <c r="I5" s="25" t="n"/>
    </row>
    <row r="6">
      <c r="B6" s="253" t="n"/>
      <c r="C6" s="391" t="n"/>
      <c r="D6" s="391" t="n"/>
      <c r="E6" s="391" t="n"/>
      <c r="F6" s="26" t="inlineStr">
        <is>
          <t>UNITÁRIO</t>
        </is>
      </c>
      <c r="G6" s="27" t="inlineStr">
        <is>
          <t>TOTAL</t>
        </is>
      </c>
    </row>
    <row r="7">
      <c r="B7" s="28" t="n"/>
      <c r="C7" s="29" t="n"/>
      <c r="D7" s="29" t="n"/>
      <c r="E7" s="444" t="n"/>
      <c r="F7" s="444" t="n"/>
      <c r="G7" s="445" t="n"/>
    </row>
    <row r="8" ht="18.75" customFormat="1" customHeight="1" s="31">
      <c r="B8" s="30" t="inlineStr">
        <is>
          <t>TOTAL</t>
        </is>
      </c>
      <c r="C8" s="30" t="n"/>
      <c r="D8" s="30" t="n"/>
      <c r="E8" s="446" t="n"/>
      <c r="F8" s="447" t="n"/>
      <c r="G8" s="448" t="n"/>
    </row>
  </sheetData>
  <mergeCells count="7">
    <mergeCell ref="E5:E6"/>
    <mergeCell ref="F5:G5"/>
    <mergeCell ref="B1:G1"/>
    <mergeCell ref="B4:G4"/>
    <mergeCell ref="C5:C6"/>
    <mergeCell ref="B5:B6"/>
    <mergeCell ref="D5:D6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9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8.43" customWidth="1" style="236" min="1" max="1"/>
    <col width="8.43" customWidth="1" style="236" min="64" max="64"/>
  </cols>
  <sheetData>
    <row r="1" ht="15" customHeight="1" s="236">
      <c r="A1" s="449" t="inlineStr">
        <is>
          <t>QUADRO RESUMO DA AVALIAÇÃO</t>
        </is>
      </c>
      <c r="O1" s="450" t="n"/>
    </row>
    <row r="2" ht="15" customHeight="1" s="236">
      <c r="A2" s="451" t="inlineStr">
        <is>
          <t>Proponente:</t>
        </is>
      </c>
      <c r="C2" s="451" t="inlineStr">
        <is>
          <t>marco antonio feitosa</t>
        </is>
      </c>
      <c r="J2" s="452" t="inlineStr">
        <is>
          <t>CPF: 713.254.791-79</t>
        </is>
      </c>
      <c r="O2" s="450" t="n"/>
    </row>
    <row r="3" ht="15" customHeight="1" s="236">
      <c r="A3" s="453" t="inlineStr">
        <is>
          <t>Proprietário:</t>
        </is>
      </c>
      <c r="C3" s="453" t="inlineStr">
        <is>
          <t>miguel phelipe feitosa</t>
        </is>
      </c>
      <c r="J3" s="453" t="inlineStr">
        <is>
          <t>CPF:713.254.791-79</t>
        </is>
      </c>
    </row>
    <row r="4" ht="15" customHeight="1" s="236">
      <c r="A4" s="453" t="inlineStr">
        <is>
          <t>Proprietário:</t>
        </is>
      </c>
      <c r="C4" s="453" t="inlineStr">
        <is>
          <t>miguel phelipe feitosa gomes</t>
        </is>
      </c>
      <c r="J4" s="453" t="inlineStr">
        <is>
          <t>CNPJ:32.251.489/5614-55</t>
        </is>
      </c>
    </row>
    <row r="5" ht="15" customHeight="1" s="236">
      <c r="A5" s="453" t="inlineStr">
        <is>
          <t xml:space="preserve">Agencia: </t>
        </is>
      </c>
      <c r="C5" s="453" t="inlineStr">
        <is>
          <t>ua porto nacional (14)</t>
        </is>
      </c>
      <c r="J5" s="454" t="n"/>
    </row>
    <row r="6" ht="15" customHeight="1" s="236">
      <c r="A6" s="453" t="inlineStr">
        <is>
          <t>Identificação:</t>
        </is>
      </c>
      <c r="C6" s="453" t="inlineStr">
        <is>
          <t>fazenda rancho diamante</t>
        </is>
      </c>
      <c r="J6" s="454" t="n"/>
    </row>
    <row r="7" ht="15" customHeight="1" s="236">
      <c r="A7" s="453" t="inlineStr">
        <is>
          <t>Município:</t>
        </is>
      </c>
      <c r="C7" s="453" t="inlineStr">
        <is>
          <t>palmas</t>
        </is>
      </c>
      <c r="J7" s="453" t="inlineStr">
        <is>
          <t>UF:  TO</t>
        </is>
      </c>
    </row>
    <row r="8" ht="15" customHeight="1" s="236">
      <c r="A8" s="455" t="inlineStr">
        <is>
          <t>MAPA DA ÁREA</t>
        </is>
      </c>
    </row>
    <row r="9" ht="15" customHeight="1" s="236"/>
    <row r="10" ht="15" customHeight="1" s="236"/>
    <row r="11" ht="15" customHeight="1" s="236"/>
    <row r="12" ht="15" customHeight="1" s="236"/>
    <row r="13" ht="15" customHeight="1" s="236"/>
    <row r="14" ht="15" customHeight="1" s="236"/>
    <row r="15" ht="15" customHeight="1" s="236"/>
    <row r="16" ht="15" customHeight="1" s="236"/>
    <row r="17" ht="15" customHeight="1" s="236"/>
    <row r="18" ht="15" customHeight="1" s="236"/>
    <row r="19" ht="15" customHeight="1" s="236"/>
    <row r="20" ht="15" customHeight="1" s="236"/>
    <row r="21" ht="15" customHeight="1" s="236"/>
    <row r="22" ht="15" customHeight="1" s="236"/>
    <row r="23" ht="15" customHeight="1" s="236"/>
    <row r="24" ht="15" customHeight="1" s="236"/>
    <row r="25" ht="15" customHeight="1" s="236"/>
    <row r="26" ht="15" customHeight="1" s="236"/>
    <row r="27" ht="15" customHeight="1" s="236"/>
    <row r="28" ht="15" customHeight="1" s="236"/>
    <row r="29" ht="15" customHeight="1" s="236"/>
    <row r="30" ht="15" customHeight="1" s="236"/>
    <row r="31" ht="15" customHeight="1" s="236"/>
    <row r="32" ht="15" customHeight="1" s="236">
      <c r="A32" s="455" t="inlineStr">
        <is>
          <t>IMOVEL</t>
        </is>
      </c>
    </row>
    <row r="33" ht="15" customHeight="1" s="236">
      <c r="A33" s="456" t="inlineStr">
        <is>
          <t>Nº Matrícula</t>
        </is>
      </c>
      <c r="D33" s="456" t="inlineStr">
        <is>
          <t>Identificação</t>
        </is>
      </c>
      <c r="G33" s="456" t="inlineStr">
        <is>
          <t>Área há</t>
        </is>
      </c>
      <c r="J33" s="456" t="inlineStr">
        <is>
          <t>Área Construída m²</t>
        </is>
      </c>
    </row>
    <row r="34" ht="15" customHeight="1" s="236">
      <c r="A34" s="456" t="inlineStr">
        <is>
          <t>1456.6547</t>
        </is>
      </c>
      <c r="D34" s="456" t="inlineStr">
        <is>
          <t>fazenda</t>
        </is>
      </c>
      <c r="G34" s="456" t="inlineStr">
        <is>
          <t>1234.5123</t>
        </is>
      </c>
      <c r="J34" s="456" t="inlineStr">
        <is>
          <t>156.65</t>
        </is>
      </c>
    </row>
    <row r="35" ht="15" customHeight="1" s="236">
      <c r="A35" s="456" t="inlineStr">
        <is>
          <t>184.096</t>
        </is>
      </c>
      <c r="D35" s="456" t="inlineStr">
        <is>
          <t>fazenda</t>
        </is>
      </c>
      <c r="G35" s="456" t="inlineStr">
        <is>
          <t>123.0921</t>
        </is>
      </c>
      <c r="J35" s="456" t="inlineStr">
        <is>
          <t>15.65</t>
        </is>
      </c>
    </row>
    <row r="36" ht="15" customHeight="1" s="236">
      <c r="A36" s="455" t="inlineStr">
        <is>
          <t>VALORES</t>
        </is>
      </c>
    </row>
    <row r="37" ht="15" customHeight="1" s="236">
      <c r="A37" s="456" t="inlineStr">
        <is>
          <t>Nº Matrícula</t>
        </is>
      </c>
      <c r="F37" s="456" t="inlineStr">
        <is>
          <t>Valor de mercado</t>
        </is>
      </c>
      <c r="K37" s="456" t="inlineStr">
        <is>
          <t>Liquidação forçada</t>
        </is>
      </c>
    </row>
    <row r="38" ht="15" customHeight="1" s="236">
      <c r="A38" s="456" t="inlineStr">
        <is>
          <t>1456.6547</t>
        </is>
      </c>
      <c r="F38" s="456" t="inlineStr">
        <is>
          <t>R$ 25.000.000,00</t>
        </is>
      </c>
      <c r="K38" s="456" t="inlineStr">
        <is>
          <t>R$ 65.000.000,00</t>
        </is>
      </c>
    </row>
    <row r="39" ht="15" customHeight="1" s="236">
      <c r="A39" s="456" t="inlineStr">
        <is>
          <t>184.096</t>
        </is>
      </c>
      <c r="F39" s="456" t="inlineStr">
        <is>
          <t>R$ 100.000,00</t>
        </is>
      </c>
      <c r="K39" s="456" t="inlineStr">
        <is>
          <t>R$ 1.000,00</t>
        </is>
      </c>
    </row>
  </sheetData>
  <mergeCells count="44">
    <mergeCell ref="A37:C37"/>
    <mergeCell ref="J5:N5"/>
    <mergeCell ref="C7:I7"/>
    <mergeCell ref="G34:I34"/>
    <mergeCell ref="J2:M2"/>
    <mergeCell ref="A36:N36"/>
    <mergeCell ref="A6:B6"/>
    <mergeCell ref="J33:M33"/>
    <mergeCell ref="G33:I33"/>
    <mergeCell ref="A1:N1"/>
    <mergeCell ref="F38:H38"/>
    <mergeCell ref="A33:C33"/>
    <mergeCell ref="A7:B7"/>
    <mergeCell ref="C3:I3"/>
    <mergeCell ref="J6:N6"/>
    <mergeCell ref="O1:S1"/>
    <mergeCell ref="G35:I35"/>
    <mergeCell ref="K39:M39"/>
    <mergeCell ref="C6:I6"/>
    <mergeCell ref="A35:C35"/>
    <mergeCell ref="A3:B3"/>
    <mergeCell ref="D33:F33"/>
    <mergeCell ref="C5:I5"/>
    <mergeCell ref="F37:H37"/>
    <mergeCell ref="A38:C38"/>
    <mergeCell ref="J4:N4"/>
    <mergeCell ref="F39:H39"/>
    <mergeCell ref="K38:M38"/>
    <mergeCell ref="A2:B2"/>
    <mergeCell ref="J7:N7"/>
    <mergeCell ref="K37:M37"/>
    <mergeCell ref="C4:I4"/>
    <mergeCell ref="A5:B5"/>
    <mergeCell ref="J34:M34"/>
    <mergeCell ref="D35:F35"/>
    <mergeCell ref="A39:C39"/>
    <mergeCell ref="A34:C34"/>
    <mergeCell ref="A32:N32"/>
    <mergeCell ref="D34:F34"/>
    <mergeCell ref="A4:B4"/>
    <mergeCell ref="A8:N8"/>
    <mergeCell ref="J3:N3"/>
    <mergeCell ref="J35:M35"/>
    <mergeCell ref="C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valec</dc:creator>
  <dcterms:created xmlns:dcterms="http://purl.org/dc/terms/" xmlns:xsi="http://www.w3.org/2001/XMLSchema-instance" xsi:type="dcterms:W3CDTF">2007-03-13T17:47:00Z</dcterms:created>
  <dcterms:modified xmlns:dcterms="http://purl.org/dc/terms/" xmlns:xsi="http://www.w3.org/2001/XMLSchema-instance" xsi:type="dcterms:W3CDTF">2025-01-03T19:41:11Z</dcterms:modified>
  <cp:lastModifiedBy>Usuario</cp:lastModifiedBy>
  <cp:lastPrinted>2017-10-03T10:10:58Z</cp:lastPrinted>
</cp:coreProperties>
</file>